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HỤ LỤC I" sheetId="1" r:id="rId4"/>
    <sheet state="visible" name="PHỤ LỤC II" sheetId="2" r:id="rId5"/>
  </sheets>
  <definedNames/>
  <calcPr/>
  <extLst>
    <ext uri="GoogleSheetsCustomDataVersion2">
      <go:sheetsCustomData xmlns:go="http://customooxmlschemas.google.com/" r:id="rId6" roundtripDataChecksum="csUC5I3mktvE+tkYn6c349iujeTfphpBoS2zuIB2V7w="/>
    </ext>
  </extLst>
</workbook>
</file>

<file path=xl/sharedStrings.xml><?xml version="1.0" encoding="utf-8"?>
<sst xmlns="http://schemas.openxmlformats.org/spreadsheetml/2006/main" count="304" uniqueCount="180">
  <si>
    <t>PHỤ LỤC I: QUY TRÌNH CANH TÁC LÚA SẠCH ST25 KHÔNG TỒN DƯ THUỐC BẢO VỆ THỰC VẬT</t>
  </si>
  <si>
    <t>STT</t>
  </si>
  <si>
    <t>QUY TRÌNH PHÂN BÓN</t>
  </si>
  <si>
    <t>Giá phân tại thời điểm hiện tại (giá lên xuống theo từng thời điểm)</t>
  </si>
  <si>
    <t>Giai đoạn bón</t>
  </si>
  <si>
    <t>Sản Phẩm</t>
  </si>
  <si>
    <t>Thành Phần</t>
  </si>
  <si>
    <t>Lượng Bón</t>
  </si>
  <si>
    <t>Đơn giá</t>
  </si>
  <si>
    <t>Thành Tiền</t>
  </si>
  <si>
    <t>Bón lót trước sạ</t>
  </si>
  <si>
    <t>HTO Green</t>
  </si>
  <si>
    <t>Chất hữu cơ: 25%
Tỷ lệ C/N: 12
pH(H2O): 6.5
Độ ẩm: 30%
Bổ sung vi sinh vật đối kháng Trichoderma.</t>
  </si>
  <si>
    <t>Bón sau sạ (7-10 NSS)</t>
  </si>
  <si>
    <t xml:space="preserve">Ure </t>
  </si>
  <si>
    <t>N:46%</t>
  </si>
  <si>
    <t>Bón lần 1 (15 - 18 NSS)</t>
  </si>
  <si>
    <t>Lúa Xanh Bón Thúc</t>
  </si>
  <si>
    <t>22-15-5 +1S</t>
  </si>
  <si>
    <t>Bón Lần 2 (30 - 35 NSS)</t>
  </si>
  <si>
    <t>Bón Lần 3 (50 - 55 NSS)</t>
  </si>
  <si>
    <t xml:space="preserve">Lúa Vàng Bón Đòng </t>
  </si>
  <si>
    <t>15-5-20+ 1S</t>
  </si>
  <si>
    <t>Tổng</t>
  </si>
  <si>
    <t>QUY TRÌNH THUỐC BVTV</t>
  </si>
  <si>
    <t>Giai đoạn phun</t>
  </si>
  <si>
    <t>Sản phẩm Đức Thành</t>
  </si>
  <si>
    <t>Thành Phần Thuốc Đức Thành</t>
  </si>
  <si>
    <t>Lượng nước sử dụng</t>
  </si>
  <si>
    <t>Số lượng</t>
  </si>
  <si>
    <t>Giá</t>
  </si>
  <si>
    <t>Ghi Chú SD</t>
  </si>
  <si>
    <t>NHỮNG CÔNG VIỆC CẦN LÀM</t>
  </si>
  <si>
    <t xml:space="preserve">Phun thuốc trừ ốc Trước Sạ </t>
  </si>
  <si>
    <t xml:space="preserve">Ốc ôm </t>
  </si>
  <si>
    <t>Niclosamide: 700g/kg
Phụ gia: 300g/kg</t>
  </si>
  <si>
    <t>70g/25 lít nước</t>
  </si>
  <si>
    <t>1. Thăm đồng, đánh giá mật độ ốc trên cánh đồng
2. Đánh giá tình hình bề mặt ruộng
3. Kiểm tra sau khi phun thuốc, mực nước được giữ trên cánh đồng</t>
  </si>
  <si>
    <t>Sạch Ốc 3.6_400ml</t>
  </si>
  <si>
    <t>Abamectin 3.6g/ lít</t>
  </si>
  <si>
    <t>100ml/25 lít nước</t>
  </si>
  <si>
    <t>Phun thuốc diệt mầm 0-3NSS</t>
  </si>
  <si>
    <t>Cantanil 500EC ( Thương Mại)</t>
  </si>
  <si>
    <t>Butachlor …….. 275g/ lít
Propanil …….. 275g/ lít</t>
  </si>
  <si>
    <t>135ml/ 25 lít nước</t>
  </si>
  <si>
    <t xml:space="preserve">1. Xác định phun thuốc tùy theo loại thuốc tiền nảy mầm  ( 0-3 ngày), hậu nảy mầm ( 4-6 ngày)
2. Đánh giá tình hình bề mặt ruộng
3. Kiểm tra mực nước được giữ trên cánh đồng sau khi phun 2-3 ngày 
</t>
  </si>
  <si>
    <t>Butaco 600EC _450 ml</t>
  </si>
  <si>
    <t>Butachlor….600g/lít</t>
  </si>
  <si>
    <t>Phun 20-22 NSS</t>
  </si>
  <si>
    <t>Amino 15SL_500ml</t>
  </si>
  <si>
    <t>Amino acid…150g/lít</t>
  </si>
  <si>
    <t>50ml/25 lít nước</t>
  </si>
  <si>
    <t xml:space="preserve">1. Xác định đúng đối tượng gây hại và loại thuốc phù hợp
2. Kiểm tra dự báo thời tiết  tránh mưa bão gió lớn làm ảnh hưởng đến việc phun thuốc 
3. Kiểm tra hiệu quả phòng trừ sâu bệnh sau khi phun </t>
  </si>
  <si>
    <t>Villa Fuji 100SL 1L</t>
  </si>
  <si>
    <t>Validamycin A… 100g/l</t>
  </si>
  <si>
    <t>DT Aba 60.5EC_480ml</t>
  </si>
  <si>
    <t>Abamectin 60.5g/ lít</t>
  </si>
  <si>
    <t>Phun  35-38 NSS</t>
  </si>
  <si>
    <t>DT 11 -  Đâm chồi _ 500ml</t>
  </si>
  <si>
    <t>N: 6,5%, P2O5: 7,9%, K2O: 4,7%; Mn: 190ppm; Zn: 900ppm; B: 200ppm; Mo: 200ppm; Cu: 150ppm; pH(H2O): 7, tỷ trong: 1,2</t>
  </si>
  <si>
    <t>DT Ema 40EC 480ML</t>
  </si>
  <si>
    <t>Emamectin benzoate…40g/lít</t>
  </si>
  <si>
    <t>Villa Fiji 100SL 1L</t>
  </si>
  <si>
    <t>Rusem super _7.5g</t>
  </si>
  <si>
    <t>Myclobutanil:100g/kg
Tebuconazole:400g/kg
Trifloxystrobin:250g/kg</t>
  </si>
  <si>
    <t xml:space="preserve">7.5g/25 lít nước </t>
  </si>
  <si>
    <t>THEO DỊCH HẠI</t>
  </si>
  <si>
    <t>Phun 55-60 NSS</t>
  </si>
  <si>
    <t xml:space="preserve">Upper 400SC_ 240ml </t>
  </si>
  <si>
    <t>Azoxystrobin…250g/lít
Difenoconazole…150g/lít</t>
  </si>
  <si>
    <t>36ml/25 lít nước</t>
  </si>
  <si>
    <t>Captival 400WP</t>
  </si>
  <si>
    <t>Bismerthiazol 200g/kg 
Oxolinic acid 200g/kg</t>
  </si>
  <si>
    <t>12,5ml/25 lít nước</t>
  </si>
  <si>
    <t>DT 11 -  Đòng To_500ml</t>
  </si>
  <si>
    <t>N: 6,5%, P2O5: 7,9%, K2O: 4,7%; Mn: 190ppm; Zn: 900ppm; 
B: 200ppm; Mo: 200ppm; Cu: 150ppm; pH(H2O): 7, tỷ trong: 1,2</t>
  </si>
  <si>
    <t>Trỗ lẹt xẹt</t>
  </si>
  <si>
    <t xml:space="preserve">1. Xác định đúng đối tượng gây hại và loại thuốc phù hợp
2. Tránh các loại thuốc nóng ảnh hưởng đến bông 
Thời tiết  tránh mưa bão gió lớn làm ảnh hưởng đến việc phun thuốc 
3. Kiểm tra hiệu quả phòng trừ sâu bệnh sau khi phun </t>
  </si>
  <si>
    <t>DT9 Vua vào gạo_ 500ml</t>
  </si>
  <si>
    <t>N: 6%, P2O5: 8%, K2O: 10%; Zn: 3000ppm; B: 5000ppm, độ ẩm: 8%; pH(H20): 7; tỷ trong: 1,2</t>
  </si>
  <si>
    <t>Amino Gold 15SL_500ml</t>
  </si>
  <si>
    <t>Trắng xanh WP</t>
  </si>
  <si>
    <t>Beauveria bassiana: 1 x 1.000.000.000 CFU/g
Metarhizium anizopliae: 0,5 x 1.000.000.000 CFU/g</t>
  </si>
  <si>
    <t xml:space="preserve">Cong trái me </t>
  </si>
  <si>
    <t>DT 6_ 100g</t>
  </si>
  <si>
    <t>N: 5%, P2O5: 5%, K2O: 45%; S: 1,2%; Mg:0,2%; Zn: 50ppm; B: 30ppm, độ ẩm: 8%</t>
  </si>
  <si>
    <t>100g/25 lít nước</t>
  </si>
  <si>
    <t>TỔNG</t>
  </si>
  <si>
    <t>Giống</t>
  </si>
  <si>
    <t>ST25</t>
  </si>
  <si>
    <t>CHI PHÍ DỊCH VỤ</t>
  </si>
  <si>
    <t>Chi phí</t>
  </si>
  <si>
    <t>Đơn Giá</t>
  </si>
  <si>
    <t>DVT</t>
  </si>
  <si>
    <t>Số Lượng</t>
  </si>
  <si>
    <t>Ghi chú</t>
  </si>
  <si>
    <t>Cày, xới, bừa, đánh đường nước</t>
  </si>
  <si>
    <t>1 ha</t>
  </si>
  <si>
    <t>Sạ cụm</t>
  </si>
  <si>
    <t>Máy phóng ( máy cắt</t>
  </si>
  <si>
    <t>1.900.000</t>
  </si>
  <si>
    <t>Vận chuyển tới chỗ tập kết</t>
  </si>
  <si>
    <t>bao</t>
  </si>
  <si>
    <t>Bón lần 1</t>
  </si>
  <si>
    <t>Bón lần 2</t>
  </si>
  <si>
    <t>Bón lần 3</t>
  </si>
  <si>
    <t>Bón lần 4</t>
  </si>
  <si>
    <t>Bón lần 5</t>
  </si>
  <si>
    <t>Diệt ốc</t>
  </si>
  <si>
    <t>Diệt mầm</t>
  </si>
  <si>
    <t>Phun 30-32 NSS</t>
  </si>
  <si>
    <t>Phun 35-38 NSS</t>
  </si>
  <si>
    <t>Trỗ lẹt xẹt ( sau 5 ngày phun Villa Fuji)</t>
  </si>
  <si>
    <t>Cong trái me</t>
  </si>
  <si>
    <t>BẢNG TỔNG CHI PHÍ CANH TÁC 1HA</t>
  </si>
  <si>
    <t>CHI PHÍ</t>
  </si>
  <si>
    <t>THÀNH TIỀN</t>
  </si>
  <si>
    <t>GHI CHÚ</t>
  </si>
  <si>
    <t>CHI PHÍ PHÂN</t>
  </si>
  <si>
    <t>CHI PHÍ THUỐC</t>
  </si>
  <si>
    <t>CHI PHÍ GIỐNG</t>
  </si>
  <si>
    <t>TỔNG CHI PHÍ</t>
  </si>
  <si>
    <t>TÔNG DOANH THU/HA</t>
  </si>
  <si>
    <t>GIÁ LÚA</t>
  </si>
  <si>
    <t>NĂNG SUẤT (kg) dự kiến</t>
  </si>
  <si>
    <t>LỢI NHUẬN/HA</t>
  </si>
  <si>
    <t>PHỤ LỤC II: DANH MỤC QUY ĐỊNH VỀ TỒN DƯ THUỐC BẢO VỆ THỰC VẬT TRONG LIÊN KẾT SẢN XUẤT TIÊU THỤ LÚA GẠO</t>
  </si>
  <si>
    <t>DANH MỤC HOẠT CHẤT</t>
  </si>
  <si>
    <t>ĐƠN VỊ TÍNH</t>
  </si>
  <si>
    <t>GIỚI HẠN CHO PHÉP
MRL (Mg/Kg)</t>
  </si>
  <si>
    <t>GIỚI HẠN TỐI ƯU NHẤT
MRL (Mg/Kg)</t>
  </si>
  <si>
    <t>Tebuconazole</t>
  </si>
  <si>
    <t>Mg/Kg</t>
  </si>
  <si>
    <t>Giới hạn tối ưu nhất là danh mục bao gồm 12 nhóm hoạt chất cốt lõi để hướng đến việc sản phẩm có thể lưu hành rộng hơn khi xuất khẩu sang thị trường Mỹ, Châu Âu, xây dựng lộ trình cụ thể để giảm dần đến giới hạn này sau từng đợt liên kết</t>
  </si>
  <si>
    <t>Propiconazol</t>
  </si>
  <si>
    <t>"</t>
  </si>
  <si>
    <t>Isoprothiolane</t>
  </si>
  <si>
    <t>Acetamiprid</t>
  </si>
  <si>
    <t>Azoxystrobin</t>
  </si>
  <si>
    <t>&lt;0.01</t>
  </si>
  <si>
    <t>Chlorpyrifos (-ethyl)</t>
  </si>
  <si>
    <t>Difenoconazole</t>
  </si>
  <si>
    <t>Fenitrothion</t>
  </si>
  <si>
    <t>Flusilazole</t>
  </si>
  <si>
    <t>Hexaconazole</t>
  </si>
  <si>
    <t>Pirimiphos-methyl</t>
  </si>
  <si>
    <t>Tricyclazole</t>
  </si>
  <si>
    <t>Profenofos</t>
  </si>
  <si>
    <t>Triazophos</t>
  </si>
  <si>
    <t>Thiacloprid</t>
  </si>
  <si>
    <t>Imazalil (any ratio of constituent isomers)</t>
  </si>
  <si>
    <t>2-phenylphenol (sum of 2-phenylphenol and its conjugates, expressed as 2-phenylphenol)</t>
  </si>
  <si>
    <t>Acephate</t>
  </si>
  <si>
    <t>Bifenazate (sum of bifenazate plus bifenazate - diazene expressed as bifenazate)</t>
  </si>
  <si>
    <t>Biphenyl</t>
  </si>
  <si>
    <t>Bromacil</t>
  </si>
  <si>
    <t>Buprofezin</t>
  </si>
  <si>
    <t>Carbendazim</t>
  </si>
  <si>
    <t>Carbendazim and benomyl (sum of benomyl and carbendazim expressed as carbendazim)</t>
  </si>
  <si>
    <t>Chlorantraniliprole</t>
  </si>
  <si>
    <t>Chlorpyrifos</t>
  </si>
  <si>
    <t>Clothianidin</t>
  </si>
  <si>
    <t>Cypermerthrin and isomers alpha-cypermethrin and zeta-cypermethrin</t>
  </si>
  <si>
    <t>Cyproconazole</t>
  </si>
  <si>
    <t>Deltamethrin (cis-deltamethrin)</t>
  </si>
  <si>
    <t>Dimethomorph (sum of isomers)</t>
  </si>
  <si>
    <t>Dinotefuran</t>
  </si>
  <si>
    <t>Fenpropathrin</t>
  </si>
  <si>
    <t>Fenvalerate (all isomers including Esfenvalerate)</t>
  </si>
  <si>
    <t>Fludioxonil</t>
  </si>
  <si>
    <t>Imidacloprid</t>
  </si>
  <si>
    <t>Malathion (sum of malathion and malaoxon expressed as malathion)</t>
  </si>
  <si>
    <t>Monuron</t>
  </si>
  <si>
    <t>Ofurace</t>
  </si>
  <si>
    <t>Paclobutrazol (sum of constituent isomers)</t>
  </si>
  <si>
    <t>Permethrin (sum of isomers)</t>
  </si>
  <si>
    <t>Piperonyl butoxide</t>
  </si>
  <si>
    <t>Quinalphos</t>
  </si>
  <si>
    <t>Spirodiclofen</t>
  </si>
  <si>
    <t>Thiamethoxam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</si>
</sst>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 #,##0_);_(* \(#,##0\);_(* &quot;-&quot;??_);_(@_)"/>
    <numFmt numFmtId="165" formatCode="_-* #,##0\ _₫_-;\-* #,##0\ _₫_-;_-* &quot;-&quot;??\ _₫_-;_-@"/>
    <numFmt numFmtId="166" formatCode="_(* #,##0.00_);_(* \(#,##0.00\);_(* &quot;-&quot;??_);_(@_)"/>
    <numFmt numFmtId="167" formatCode="0.0"/>
  </numFmts>
  <fonts count="10">
    <font>
      <sz val="12.0"/>
      <color theme="1"/>
      <name val="Calibri"/>
      <scheme val="minor"/>
    </font>
    <font>
      <b/>
      <sz val="12.0"/>
      <color theme="1"/>
      <name val="Times New Roman"/>
    </font>
    <font>
      <sz val="12.0"/>
      <color theme="1"/>
      <name val="Times New Roman"/>
    </font>
    <font>
      <b/>
      <sz val="12.0"/>
      <color theme="0"/>
      <name val="Times New Roman"/>
    </font>
    <font/>
    <font>
      <b/>
      <sz val="12.0"/>
      <color rgb="FFFFFFFF"/>
      <name val="Times New Roman"/>
    </font>
    <font>
      <b/>
      <sz val="13.0"/>
      <color theme="1"/>
      <name val="Times New Roman"/>
    </font>
    <font>
      <sz val="12.0"/>
      <color theme="1"/>
      <name val="Calibri"/>
    </font>
    <font>
      <sz val="13.0"/>
      <color theme="1"/>
      <name val="Times New Roman"/>
    </font>
    <font>
      <sz val="10.0"/>
      <color theme="1"/>
      <name val="Times New Roman"/>
    </font>
  </fonts>
  <fills count="8">
    <fill>
      <patternFill patternType="none"/>
    </fill>
    <fill>
      <patternFill patternType="lightGray"/>
    </fill>
    <fill>
      <patternFill patternType="solid">
        <fgColor theme="8"/>
        <bgColor theme="8"/>
      </patternFill>
    </fill>
    <fill>
      <patternFill patternType="solid">
        <fgColor theme="0"/>
        <bgColor theme="0"/>
      </patternFill>
    </fill>
    <fill>
      <patternFill patternType="solid">
        <fgColor rgb="FFFFFF00"/>
        <bgColor rgb="FFFFFF00"/>
      </patternFill>
    </fill>
    <fill>
      <patternFill patternType="solid">
        <fgColor rgb="FFFFF2CC"/>
        <bgColor rgb="FFFFF2CC"/>
      </patternFill>
    </fill>
    <fill>
      <patternFill patternType="solid">
        <fgColor rgb="FF46BDC6"/>
        <bgColor rgb="FF46BDC6"/>
      </patternFill>
    </fill>
    <fill>
      <patternFill patternType="solid">
        <fgColor rgb="FFFFFFFF"/>
        <bgColor rgb="FFFFFFFF"/>
      </patternFill>
    </fill>
  </fills>
  <borders count="38">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top/>
      <bottom/>
    </border>
    <border>
      <top/>
      <bottom/>
    </border>
    <border>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bottom/>
    </border>
    <border>
      <left/>
      <right style="thin">
        <color rgb="FF000000"/>
      </right>
      <top/>
      <bottom/>
    </border>
    <border>
      <left style="thin">
        <color rgb="FF000000"/>
      </left>
      <right/>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style="thin">
        <color rgb="FF000000"/>
      </right>
    </border>
    <border>
      <top style="thin">
        <color rgb="FF000000"/>
      </top>
    </border>
    <border>
      <left style="medium">
        <color rgb="FFCCCCCC"/>
      </left>
      <top style="medium">
        <color rgb="FFCCCCCC"/>
      </top>
      <bottom style="medium">
        <color rgb="FFCCCCCC"/>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rder>
    <border>
      <left style="medium">
        <color rgb="FFCCCCCC"/>
      </left>
      <right style="medium">
        <color rgb="FFCCCCCC"/>
      </right>
    </border>
    <border>
      <left style="medium">
        <color rgb="FFCCCCCC"/>
      </left>
      <right style="medium">
        <color rgb="FFCCCCCC"/>
      </right>
      <bottom style="medium">
        <color rgb="FFCCCCCC"/>
      </bottom>
    </border>
  </borders>
  <cellStyleXfs count="1">
    <xf borderId="0" fillId="0" fontId="0" numFmtId="0" applyAlignment="1" applyFont="1"/>
  </cellStyleXfs>
  <cellXfs count="130">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1" fillId="2" fontId="3" numFmtId="0" xfId="0" applyAlignment="1" applyBorder="1" applyFill="1" applyFont="1">
      <alignment horizontal="center" vertical="center"/>
    </xf>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5" fillId="0" fontId="2" numFmtId="0" xfId="0" applyAlignment="1" applyBorder="1" applyFont="1">
      <alignment horizontal="center" shrinkToFit="0" vertical="center" wrapText="1"/>
    </xf>
    <xf borderId="6" fillId="0" fontId="4" numFmtId="0" xfId="0" applyBorder="1" applyFont="1"/>
    <xf borderId="7" fillId="3" fontId="2" numFmtId="0" xfId="0" applyAlignment="1" applyBorder="1" applyFill="1" applyFont="1">
      <alignment horizontal="center" shrinkToFit="0" vertical="center" wrapText="1"/>
    </xf>
    <xf borderId="8" fillId="0" fontId="4" numFmtId="0" xfId="0" applyBorder="1" applyFont="1"/>
    <xf borderId="9" fillId="0" fontId="4" numFmtId="0" xfId="0" applyBorder="1" applyFont="1"/>
    <xf borderId="10" fillId="0" fontId="4" numFmtId="0" xfId="0" applyBorder="1" applyFont="1"/>
    <xf borderId="11" fillId="2" fontId="3" numFmtId="0" xfId="0" applyAlignment="1" applyBorder="1" applyFont="1">
      <alignment horizontal="center" vertical="center"/>
    </xf>
    <xf borderId="12" fillId="0" fontId="4" numFmtId="0" xfId="0" applyBorder="1" applyFont="1"/>
    <xf borderId="13" fillId="0" fontId="4" numFmtId="0" xfId="0" applyBorder="1" applyFont="1"/>
    <xf borderId="0" fillId="0" fontId="2" numFmtId="0" xfId="0" applyFont="1"/>
    <xf borderId="1" fillId="0" fontId="2" numFmtId="0" xfId="0" applyAlignment="1" applyBorder="1" applyFont="1">
      <alignment horizontal="center" vertical="center"/>
    </xf>
    <xf borderId="11" fillId="0" fontId="2" numFmtId="0" xfId="0" applyAlignment="1" applyBorder="1" applyFont="1">
      <alignment horizontal="left" vertical="center"/>
    </xf>
    <xf borderId="11" fillId="0" fontId="2" numFmtId="0" xfId="0" applyAlignment="1" applyBorder="1" applyFont="1">
      <alignment horizontal="center" vertical="center"/>
    </xf>
    <xf borderId="11" fillId="0" fontId="2" numFmtId="0" xfId="0" applyAlignment="1" applyBorder="1" applyFont="1">
      <alignment horizontal="left" shrinkToFit="0" vertical="center" wrapText="1"/>
    </xf>
    <xf borderId="11" fillId="0" fontId="2" numFmtId="3" xfId="0" applyAlignment="1" applyBorder="1" applyFont="1" applyNumberFormat="1">
      <alignment horizontal="right" vertical="center"/>
    </xf>
    <xf borderId="11" fillId="0" fontId="1" numFmtId="164" xfId="0" applyAlignment="1" applyBorder="1" applyFont="1" applyNumberFormat="1">
      <alignment horizontal="right" vertical="center"/>
    </xf>
    <xf borderId="11" fillId="0" fontId="2" numFmtId="0" xfId="0" applyAlignment="1" applyBorder="1" applyFont="1">
      <alignment horizontal="center" shrinkToFit="0" vertical="center" wrapText="1"/>
    </xf>
    <xf borderId="11" fillId="0" fontId="2" numFmtId="3" xfId="0" applyAlignment="1" applyBorder="1" applyFont="1" applyNumberFormat="1">
      <alignment horizontal="right" shrinkToFit="0" vertical="center" wrapText="1"/>
    </xf>
    <xf borderId="2" fillId="0" fontId="1" numFmtId="0" xfId="0" applyAlignment="1" applyBorder="1" applyFont="1">
      <alignment horizontal="center" vertical="center"/>
    </xf>
    <xf borderId="11" fillId="0" fontId="1" numFmtId="0" xfId="0" applyBorder="1" applyFont="1"/>
    <xf borderId="11" fillId="0" fontId="1" numFmtId="0" xfId="0" applyAlignment="1" applyBorder="1" applyFont="1">
      <alignment horizontal="center" shrinkToFit="0" vertical="center" wrapText="1"/>
    </xf>
    <xf borderId="11" fillId="0" fontId="1" numFmtId="164" xfId="0" applyAlignment="1" applyBorder="1" applyFont="1" applyNumberFormat="1">
      <alignment horizontal="right"/>
    </xf>
    <xf borderId="14" fillId="0" fontId="4" numFmtId="0" xfId="0" applyBorder="1" applyFont="1"/>
    <xf borderId="15" fillId="0" fontId="4" numFmtId="0" xfId="0" applyBorder="1" applyFont="1"/>
    <xf borderId="0" fillId="0" fontId="2" numFmtId="0" xfId="0" applyAlignment="1" applyFont="1">
      <alignment horizontal="center"/>
    </xf>
    <xf borderId="0" fillId="0" fontId="2" numFmtId="165" xfId="0" applyFont="1" applyNumberFormat="1"/>
    <xf borderId="16" fillId="2" fontId="3" numFmtId="0" xfId="0" applyAlignment="1" applyBorder="1" applyFont="1">
      <alignment horizontal="center" vertical="center"/>
    </xf>
    <xf borderId="17" fillId="0" fontId="4" numFmtId="0" xfId="0" applyBorder="1" applyFont="1"/>
    <xf borderId="18" fillId="0" fontId="4" numFmtId="0" xfId="0" applyBorder="1" applyFont="1"/>
    <xf borderId="19" fillId="0" fontId="4" numFmtId="0" xfId="0" applyBorder="1" applyFont="1"/>
    <xf borderId="20" fillId="2" fontId="3" numFmtId="0" xfId="0" applyAlignment="1" applyBorder="1" applyFont="1">
      <alignment horizontal="center" vertical="center"/>
    </xf>
    <xf borderId="21" fillId="2" fontId="3" numFmtId="0" xfId="0" applyAlignment="1" applyBorder="1" applyFont="1">
      <alignment horizontal="center" vertical="center"/>
    </xf>
    <xf borderId="22" fillId="2" fontId="3" numFmtId="0" xfId="0" applyAlignment="1" applyBorder="1" applyFont="1">
      <alignment horizontal="center" vertical="center"/>
    </xf>
    <xf borderId="23" fillId="2" fontId="3" numFmtId="165" xfId="0" applyAlignment="1" applyBorder="1" applyFont="1" applyNumberFormat="1">
      <alignment horizontal="center" vertical="center"/>
    </xf>
    <xf borderId="1" fillId="3" fontId="2" numFmtId="0" xfId="0" applyAlignment="1" applyBorder="1" applyFont="1">
      <alignment horizontal="center" vertical="center"/>
    </xf>
    <xf borderId="1" fillId="3" fontId="2" numFmtId="0" xfId="0" applyAlignment="1" applyBorder="1" applyFont="1">
      <alignment vertical="center"/>
    </xf>
    <xf borderId="24" fillId="3" fontId="2" numFmtId="0" xfId="0" applyAlignment="1" applyBorder="1" applyFont="1">
      <alignment horizontal="left" vertical="center"/>
    </xf>
    <xf borderId="11" fillId="3" fontId="2" numFmtId="0" xfId="0" applyAlignment="1" applyBorder="1" applyFont="1">
      <alignment horizontal="left" vertical="center"/>
    </xf>
    <xf borderId="11" fillId="3" fontId="2" numFmtId="0" xfId="0" applyAlignment="1" applyBorder="1" applyFont="1">
      <alignment horizontal="center" vertical="center"/>
    </xf>
    <xf borderId="25" fillId="3" fontId="2" numFmtId="0" xfId="0" applyAlignment="1" applyBorder="1" applyFont="1">
      <alignment horizontal="center" vertical="center"/>
    </xf>
    <xf borderId="0" fillId="0" fontId="2" numFmtId="3" xfId="0" applyAlignment="1" applyFont="1" applyNumberFormat="1">
      <alignment shrinkToFit="0" wrapText="1"/>
    </xf>
    <xf borderId="24" fillId="3" fontId="2" numFmtId="165" xfId="0" applyAlignment="1" applyBorder="1" applyFont="1" applyNumberFormat="1">
      <alignment vertical="center"/>
    </xf>
    <xf borderId="11" fillId="3" fontId="2" numFmtId="0" xfId="0" applyAlignment="1" applyBorder="1" applyFont="1">
      <alignment vertical="center"/>
    </xf>
    <xf borderId="1" fillId="3" fontId="2" numFmtId="0" xfId="0" applyAlignment="1" applyBorder="1" applyFont="1">
      <alignment horizontal="left" shrinkToFit="0" vertical="center" wrapText="1"/>
    </xf>
    <xf borderId="26" fillId="3" fontId="2" numFmtId="0" xfId="0" applyBorder="1" applyFont="1"/>
    <xf borderId="11" fillId="3" fontId="2" numFmtId="165" xfId="0" applyBorder="1" applyFont="1" applyNumberFormat="1"/>
    <xf borderId="24" fillId="4" fontId="2" numFmtId="0" xfId="0" applyAlignment="1" applyBorder="1" applyFill="1" applyFont="1">
      <alignment horizontal="left" vertical="center"/>
    </xf>
    <xf borderId="11" fillId="4" fontId="2" numFmtId="0" xfId="0" applyAlignment="1" applyBorder="1" applyFont="1">
      <alignment horizontal="left" shrinkToFit="0" vertical="center" wrapText="1"/>
    </xf>
    <xf borderId="11" fillId="4" fontId="2" numFmtId="0" xfId="0" applyAlignment="1" applyBorder="1" applyFont="1">
      <alignment horizontal="center" vertical="center"/>
    </xf>
    <xf borderId="25" fillId="4" fontId="2" numFmtId="0" xfId="0" applyAlignment="1" applyBorder="1" applyFont="1">
      <alignment horizontal="center" vertical="center"/>
    </xf>
    <xf borderId="11" fillId="4" fontId="2" numFmtId="165" xfId="0" applyAlignment="1" applyBorder="1" applyFont="1" applyNumberFormat="1">
      <alignment vertical="center"/>
    </xf>
    <xf borderId="24" fillId="4" fontId="2" numFmtId="165" xfId="0" applyAlignment="1" applyBorder="1" applyFont="1" applyNumberFormat="1">
      <alignment vertical="center"/>
    </xf>
    <xf borderId="11" fillId="4" fontId="2" numFmtId="0" xfId="0" applyAlignment="1" applyBorder="1" applyFont="1">
      <alignment vertical="center"/>
    </xf>
    <xf borderId="27" fillId="3" fontId="2" numFmtId="0" xfId="0" applyAlignment="1" applyBorder="1" applyFont="1">
      <alignment horizontal="left" vertical="center"/>
    </xf>
    <xf borderId="28" fillId="3" fontId="2" numFmtId="0" xfId="0" applyAlignment="1" applyBorder="1" applyFont="1">
      <alignment horizontal="left" vertical="center"/>
    </xf>
    <xf borderId="28" fillId="3" fontId="2" numFmtId="0" xfId="0" applyAlignment="1" applyBorder="1" applyFont="1">
      <alignment horizontal="center" vertical="center"/>
    </xf>
    <xf borderId="29" fillId="3" fontId="2" numFmtId="0" xfId="0" applyAlignment="1" applyBorder="1" applyFont="1">
      <alignment horizontal="center" vertical="center"/>
    </xf>
    <xf borderId="28" fillId="3" fontId="2" numFmtId="165" xfId="0" applyBorder="1" applyFont="1" applyNumberFormat="1"/>
    <xf borderId="1" fillId="0" fontId="2" numFmtId="0" xfId="0" applyAlignment="1" applyBorder="1" applyFont="1">
      <alignment vertical="center"/>
    </xf>
    <xf borderId="11" fillId="0" fontId="2" numFmtId="165" xfId="0" applyBorder="1" applyFont="1" applyNumberFormat="1"/>
    <xf borderId="11" fillId="0" fontId="2" numFmtId="0" xfId="0" applyAlignment="1" applyBorder="1" applyFont="1">
      <alignment vertical="center"/>
    </xf>
    <xf borderId="1" fillId="0" fontId="2" numFmtId="0" xfId="0" applyAlignment="1" applyBorder="1" applyFont="1">
      <alignment horizontal="left" shrinkToFit="0" vertical="center" wrapText="1"/>
    </xf>
    <xf borderId="0" fillId="0" fontId="2" numFmtId="0" xfId="0" applyAlignment="1" applyFont="1">
      <alignment horizontal="left"/>
    </xf>
    <xf borderId="0" fillId="0" fontId="2" numFmtId="165" xfId="0" applyAlignment="1" applyFont="1" applyNumberFormat="1">
      <alignment horizontal="center"/>
    </xf>
    <xf borderId="30" fillId="0" fontId="4" numFmtId="0" xfId="0" applyBorder="1" applyFont="1"/>
    <xf borderId="1" fillId="0" fontId="2" numFmtId="0" xfId="0" applyAlignment="1" applyBorder="1" applyFont="1">
      <alignment horizontal="left" vertical="center"/>
    </xf>
    <xf borderId="2" fillId="0" fontId="2" numFmtId="0" xfId="0" applyAlignment="1" applyBorder="1" applyFont="1">
      <alignment horizontal="left" vertical="center"/>
    </xf>
    <xf borderId="4" fillId="0" fontId="2" numFmtId="0" xfId="0" applyAlignment="1" applyBorder="1" applyFont="1">
      <alignment horizontal="center" vertical="center"/>
    </xf>
    <xf borderId="1" fillId="0" fontId="2" numFmtId="165" xfId="0" applyBorder="1" applyFont="1" applyNumberFormat="1"/>
    <xf borderId="11" fillId="4" fontId="2" numFmtId="0" xfId="0" applyAlignment="1" applyBorder="1" applyFont="1">
      <alignment horizontal="left" vertical="center"/>
    </xf>
    <xf borderId="11" fillId="4" fontId="2" numFmtId="165" xfId="0" applyBorder="1" applyFont="1" applyNumberFormat="1"/>
    <xf borderId="4" fillId="0" fontId="2" numFmtId="165" xfId="0" applyBorder="1" applyFont="1" applyNumberFormat="1"/>
    <xf borderId="15" fillId="0" fontId="2" numFmtId="165" xfId="0" applyBorder="1" applyFont="1" applyNumberFormat="1"/>
    <xf borderId="11" fillId="0" fontId="2" numFmtId="0" xfId="0" applyAlignment="1" applyBorder="1" applyFont="1">
      <alignment shrinkToFit="0" vertical="center" wrapText="1"/>
    </xf>
    <xf borderId="25" fillId="4" fontId="2" numFmtId="165" xfId="0" applyBorder="1" applyFont="1" applyNumberFormat="1"/>
    <xf borderId="6" fillId="0" fontId="2" numFmtId="0" xfId="0" applyAlignment="1" applyBorder="1" applyFont="1">
      <alignment horizontal="center" vertical="center"/>
    </xf>
    <xf borderId="30" fillId="0" fontId="2" numFmtId="0" xfId="0" applyAlignment="1" applyBorder="1" applyFont="1">
      <alignment horizontal="left" shrinkToFit="0" vertical="center" wrapText="1"/>
    </xf>
    <xf borderId="31" fillId="0" fontId="2" numFmtId="0" xfId="0" applyAlignment="1" applyBorder="1" applyFont="1">
      <alignment horizontal="left" vertical="center"/>
    </xf>
    <xf borderId="11" fillId="3" fontId="2" numFmtId="0" xfId="0" applyAlignment="1" applyBorder="1" applyFont="1">
      <alignment horizontal="left" shrinkToFit="0" vertical="center" wrapText="1"/>
    </xf>
    <xf borderId="11" fillId="0" fontId="2" numFmtId="0" xfId="0" applyBorder="1" applyFont="1"/>
    <xf borderId="3" fillId="0" fontId="2" numFmtId="165" xfId="0" applyBorder="1" applyFont="1" applyNumberFormat="1"/>
    <xf borderId="32" fillId="0" fontId="2" numFmtId="0" xfId="0" applyAlignment="1" applyBorder="1" applyFont="1">
      <alignment shrinkToFit="0" wrapText="1"/>
    </xf>
    <xf borderId="11" fillId="5" fontId="2" numFmtId="0" xfId="0" applyAlignment="1" applyBorder="1" applyFill="1" applyFont="1">
      <alignment horizontal="center" shrinkToFit="0" wrapText="1"/>
    </xf>
    <xf borderId="11" fillId="5" fontId="2" numFmtId="0" xfId="0" applyAlignment="1" applyBorder="1" applyFont="1">
      <alignment shrinkToFit="0" wrapText="1"/>
    </xf>
    <xf borderId="11" fillId="5" fontId="2" numFmtId="3" xfId="0" applyAlignment="1" applyBorder="1" applyFont="1" applyNumberFormat="1">
      <alignment horizontal="center" shrinkToFit="0" wrapText="1"/>
    </xf>
    <xf borderId="11" fillId="5" fontId="2" numFmtId="166" xfId="0" applyAlignment="1" applyBorder="1" applyFont="1" applyNumberFormat="1">
      <alignment horizontal="right" shrinkToFit="0" wrapText="1"/>
    </xf>
    <xf borderId="33" fillId="0" fontId="2" numFmtId="0" xfId="0" applyAlignment="1" applyBorder="1" applyFont="1">
      <alignment shrinkToFit="0" wrapText="1"/>
    </xf>
    <xf borderId="34" fillId="0" fontId="2" numFmtId="0" xfId="0" applyAlignment="1" applyBorder="1" applyFont="1">
      <alignment shrinkToFit="0" wrapText="1"/>
    </xf>
    <xf borderId="35" fillId="0" fontId="2" numFmtId="0" xfId="0" applyAlignment="1" applyBorder="1" applyFont="1">
      <alignment shrinkToFit="0" wrapText="1"/>
    </xf>
    <xf borderId="36" fillId="0" fontId="2" numFmtId="0" xfId="0" applyAlignment="1" applyBorder="1" applyFont="1">
      <alignment shrinkToFit="0" wrapText="1"/>
    </xf>
    <xf borderId="1" fillId="6" fontId="5" numFmtId="0" xfId="0" applyAlignment="1" applyBorder="1" applyFill="1" applyFont="1">
      <alignment horizontal="center" shrinkToFit="0" vertical="center" wrapText="1"/>
    </xf>
    <xf borderId="2" fillId="6" fontId="5" numFmtId="0" xfId="0" applyAlignment="1" applyBorder="1" applyFont="1">
      <alignment horizontal="center" shrinkToFit="0" vertical="center" wrapText="1"/>
    </xf>
    <xf borderId="11" fillId="6" fontId="5" numFmtId="0" xfId="0" applyAlignment="1" applyBorder="1" applyFont="1">
      <alignment horizontal="center" shrinkToFit="0" vertical="center" wrapText="1"/>
    </xf>
    <xf borderId="11" fillId="6" fontId="2" numFmtId="0" xfId="0" applyAlignment="1" applyBorder="1" applyFont="1">
      <alignment shrinkToFit="0" vertical="center" wrapText="1"/>
    </xf>
    <xf borderId="11" fillId="0" fontId="2" numFmtId="0" xfId="0" applyAlignment="1" applyBorder="1" applyFont="1">
      <alignment horizontal="right" shrinkToFit="0" vertical="center" wrapText="1"/>
    </xf>
    <xf borderId="2" fillId="0" fontId="2" numFmtId="0" xfId="0" applyAlignment="1" applyBorder="1" applyFont="1">
      <alignment horizontal="center" shrinkToFit="0" vertical="center" wrapText="1"/>
    </xf>
    <xf borderId="37" fillId="0" fontId="2" numFmtId="0" xfId="0" applyAlignment="1" applyBorder="1" applyFont="1">
      <alignment shrinkToFit="0" wrapText="1"/>
    </xf>
    <xf borderId="2" fillId="6" fontId="5" numFmtId="0" xfId="0" applyAlignment="1" applyBorder="1" applyFont="1">
      <alignment horizontal="center" shrinkToFit="0" wrapText="1"/>
    </xf>
    <xf borderId="11" fillId="6" fontId="5" numFmtId="0" xfId="0" applyAlignment="1" applyBorder="1" applyFont="1">
      <alignment horizontal="center" shrinkToFit="0" wrapText="1"/>
    </xf>
    <xf borderId="11" fillId="0" fontId="2" numFmtId="0" xfId="0" applyAlignment="1" applyBorder="1" applyFont="1">
      <alignment horizontal="right" shrinkToFit="0" wrapText="1"/>
    </xf>
    <xf borderId="11" fillId="0" fontId="2" numFmtId="0" xfId="0" applyAlignment="1" applyBorder="1" applyFont="1">
      <alignment shrinkToFit="0" wrapText="1"/>
    </xf>
    <xf borderId="11" fillId="0" fontId="2" numFmtId="164" xfId="0" applyAlignment="1" applyBorder="1" applyFont="1" applyNumberFormat="1">
      <alignment horizontal="center" shrinkToFit="0" wrapText="1"/>
    </xf>
    <xf borderId="11" fillId="0" fontId="2" numFmtId="165" xfId="0" applyAlignment="1" applyBorder="1" applyFont="1" applyNumberFormat="1">
      <alignment horizontal="center" shrinkToFit="0" wrapText="1"/>
    </xf>
    <xf borderId="11" fillId="0" fontId="2" numFmtId="166" xfId="0" applyAlignment="1" applyBorder="1" applyFont="1" applyNumberFormat="1">
      <alignment horizontal="center" shrinkToFit="0" wrapText="1"/>
    </xf>
    <xf borderId="11" fillId="0" fontId="2" numFmtId="3" xfId="0" applyAlignment="1" applyBorder="1" applyFont="1" applyNumberFormat="1">
      <alignment horizontal="right" shrinkToFit="0" wrapText="1"/>
    </xf>
    <xf borderId="11" fillId="0" fontId="1" numFmtId="0" xfId="0" applyAlignment="1" applyBorder="1" applyFont="1">
      <alignment shrinkToFit="0" wrapText="1"/>
    </xf>
    <xf borderId="11" fillId="6" fontId="5" numFmtId="0" xfId="0" applyAlignment="1" applyBorder="1" applyFont="1">
      <alignment shrinkToFit="0" wrapText="1"/>
    </xf>
    <xf borderId="11" fillId="7" fontId="2" numFmtId="0" xfId="0" applyAlignment="1" applyBorder="1" applyFill="1" applyFont="1">
      <alignment horizontal="right" shrinkToFit="0" wrapText="1"/>
    </xf>
    <xf borderId="11" fillId="7" fontId="2" numFmtId="3" xfId="0" applyAlignment="1" applyBorder="1" applyFont="1" applyNumberFormat="1">
      <alignment horizontal="right" shrinkToFit="0" wrapText="1"/>
    </xf>
    <xf borderId="11" fillId="7" fontId="2" numFmtId="164" xfId="0" applyAlignment="1" applyBorder="1" applyFont="1" applyNumberFormat="1">
      <alignment horizontal="right" shrinkToFit="0" wrapText="1"/>
    </xf>
    <xf borderId="11" fillId="7" fontId="2" numFmtId="164" xfId="0" applyAlignment="1" applyBorder="1" applyFont="1" applyNumberFormat="1">
      <alignment horizontal="center" shrinkToFit="0" wrapText="1"/>
    </xf>
    <xf borderId="0" fillId="0" fontId="6" numFmtId="0" xfId="0" applyAlignment="1" applyFont="1">
      <alignment horizontal="center" shrinkToFit="0" vertical="center" wrapText="1"/>
    </xf>
    <xf borderId="11" fillId="0" fontId="6" numFmtId="0" xfId="0" applyAlignment="1" applyBorder="1" applyFont="1">
      <alignment horizontal="center" vertical="center"/>
    </xf>
    <xf borderId="11" fillId="0" fontId="6" numFmtId="0" xfId="0" applyAlignment="1" applyBorder="1" applyFont="1">
      <alignment horizontal="center" shrinkToFit="0" vertical="center" wrapText="1"/>
    </xf>
    <xf borderId="11" fillId="0" fontId="1" numFmtId="0" xfId="0" applyAlignment="1" applyBorder="1" applyFont="1">
      <alignment horizontal="center" vertical="center"/>
    </xf>
    <xf borderId="0" fillId="0" fontId="7" numFmtId="0" xfId="0" applyAlignment="1" applyFont="1">
      <alignment vertical="center"/>
    </xf>
    <xf borderId="11" fillId="0" fontId="8" numFmtId="0" xfId="0" applyAlignment="1" applyBorder="1" applyFont="1">
      <alignment horizontal="center" vertical="center"/>
    </xf>
    <xf borderId="11" fillId="0" fontId="8" numFmtId="0" xfId="0" applyAlignment="1" applyBorder="1" applyFont="1">
      <alignment vertical="center"/>
    </xf>
    <xf borderId="11" fillId="0" fontId="9" numFmtId="0" xfId="0" applyAlignment="1" applyBorder="1" applyFont="1">
      <alignment horizontal="center" shrinkToFit="0" vertical="center" wrapText="1"/>
    </xf>
    <xf borderId="11" fillId="0" fontId="7" numFmtId="0" xfId="0" applyAlignment="1" applyBorder="1" applyFont="1">
      <alignment horizontal="center" vertical="center"/>
    </xf>
    <xf borderId="11" fillId="0" fontId="7" numFmtId="0" xfId="0" applyBorder="1" applyFont="1"/>
    <xf borderId="11" fillId="0" fontId="8" numFmtId="0" xfId="0" applyAlignment="1" applyBorder="1" applyFont="1">
      <alignment shrinkToFit="0" vertical="center" wrapText="1"/>
    </xf>
    <xf borderId="11" fillId="0" fontId="8" numFmtId="167"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11"/>
    <col customWidth="1" min="2" max="2" width="29.78"/>
    <col customWidth="1" min="3" max="3" width="29.0"/>
    <col customWidth="1" min="4" max="4" width="52.56"/>
    <col customWidth="1" min="5" max="5" width="21.56"/>
    <col customWidth="1" min="6" max="6" width="26.56"/>
    <col customWidth="1" min="7" max="7" width="20.11"/>
    <col customWidth="1" min="8" max="8" width="19.33"/>
    <col customWidth="1" min="9" max="9" width="16.78"/>
    <col customWidth="1" min="10" max="10" width="40.11"/>
    <col customWidth="1" min="11" max="17" width="8.56"/>
    <col customWidth="1" min="18" max="19" width="10.44"/>
    <col customWidth="1" min="20" max="25" width="8.56"/>
    <col customWidth="1" min="26" max="27" width="14.44"/>
  </cols>
  <sheetData>
    <row r="1" ht="30.75" customHeight="1">
      <c r="A1" s="1" t="s">
        <v>0</v>
      </c>
      <c r="J1" s="2"/>
      <c r="K1" s="2"/>
      <c r="L1" s="2"/>
      <c r="M1" s="2"/>
      <c r="N1" s="2"/>
      <c r="O1" s="2"/>
      <c r="P1" s="2"/>
      <c r="Q1" s="2"/>
      <c r="R1" s="2"/>
      <c r="S1" s="2"/>
      <c r="T1" s="2"/>
      <c r="U1" s="2"/>
      <c r="V1" s="2"/>
      <c r="W1" s="2"/>
      <c r="X1" s="2"/>
      <c r="Y1" s="2"/>
      <c r="Z1" s="2"/>
      <c r="AA1" s="2"/>
    </row>
    <row r="2" ht="30.0" customHeight="1">
      <c r="A2" s="3" t="s">
        <v>1</v>
      </c>
      <c r="B2" s="4" t="s">
        <v>2</v>
      </c>
      <c r="C2" s="5"/>
      <c r="D2" s="5"/>
      <c r="E2" s="5"/>
      <c r="F2" s="5"/>
      <c r="G2" s="6"/>
      <c r="H2" s="7" t="s">
        <v>3</v>
      </c>
      <c r="I2" s="8"/>
      <c r="J2" s="9"/>
      <c r="K2" s="10"/>
      <c r="L2" s="10"/>
      <c r="M2" s="10"/>
      <c r="N2" s="10"/>
      <c r="O2" s="10"/>
      <c r="P2" s="10"/>
      <c r="Q2" s="11"/>
      <c r="R2" s="2"/>
      <c r="S2" s="2"/>
      <c r="T2" s="2"/>
      <c r="U2" s="2"/>
      <c r="V2" s="2"/>
      <c r="W2" s="2"/>
      <c r="X2" s="2"/>
      <c r="Y2" s="2"/>
      <c r="Z2" s="2"/>
      <c r="AA2" s="2"/>
    </row>
    <row r="3" ht="34.5" customHeight="1">
      <c r="A3" s="12"/>
      <c r="B3" s="13" t="s">
        <v>4</v>
      </c>
      <c r="C3" s="13" t="s">
        <v>5</v>
      </c>
      <c r="D3" s="13" t="s">
        <v>6</v>
      </c>
      <c r="E3" s="13" t="s">
        <v>7</v>
      </c>
      <c r="F3" s="13" t="s">
        <v>8</v>
      </c>
      <c r="G3" s="13" t="s">
        <v>9</v>
      </c>
      <c r="H3" s="14"/>
      <c r="I3" s="15"/>
      <c r="J3" s="16"/>
      <c r="K3" s="16"/>
      <c r="L3" s="16"/>
      <c r="M3" s="16"/>
      <c r="N3" s="16"/>
      <c r="O3" s="16"/>
      <c r="P3" s="16"/>
      <c r="Q3" s="16"/>
      <c r="R3" s="16"/>
      <c r="S3" s="16"/>
      <c r="T3" s="16"/>
      <c r="U3" s="16"/>
      <c r="V3" s="16"/>
      <c r="W3" s="16"/>
      <c r="X3" s="16"/>
      <c r="Y3" s="16"/>
      <c r="Z3" s="16"/>
      <c r="AA3" s="16"/>
    </row>
    <row r="4" ht="82.5" customHeight="1">
      <c r="A4" s="17">
        <v>1.0</v>
      </c>
      <c r="B4" s="18" t="s">
        <v>10</v>
      </c>
      <c r="C4" s="19" t="s">
        <v>11</v>
      </c>
      <c r="D4" s="20" t="s">
        <v>12</v>
      </c>
      <c r="E4" s="19">
        <v>6.0</v>
      </c>
      <c r="F4" s="21">
        <v>345000.0</v>
      </c>
      <c r="G4" s="22">
        <f t="shared" ref="G4:G8" si="1">SUM(F4*E4)</f>
        <v>2070000</v>
      </c>
      <c r="H4" s="14"/>
      <c r="I4" s="15"/>
      <c r="J4" s="16"/>
      <c r="K4" s="16"/>
      <c r="L4" s="16"/>
      <c r="M4" s="16"/>
      <c r="N4" s="16"/>
      <c r="O4" s="16"/>
      <c r="P4" s="16"/>
      <c r="Q4" s="16"/>
      <c r="R4" s="16"/>
      <c r="S4" s="16"/>
      <c r="T4" s="16"/>
      <c r="U4" s="16"/>
      <c r="V4" s="16"/>
      <c r="W4" s="16"/>
      <c r="X4" s="16"/>
      <c r="Y4" s="16"/>
      <c r="Z4" s="16"/>
      <c r="AA4" s="16"/>
    </row>
    <row r="5" ht="16.5" customHeight="1">
      <c r="A5" s="12"/>
      <c r="B5" s="18" t="s">
        <v>13</v>
      </c>
      <c r="C5" s="19" t="s">
        <v>14</v>
      </c>
      <c r="D5" s="20" t="s">
        <v>15</v>
      </c>
      <c r="E5" s="19">
        <v>1.0</v>
      </c>
      <c r="F5" s="21">
        <v>750000.0</v>
      </c>
      <c r="G5" s="22">
        <f t="shared" si="1"/>
        <v>750000</v>
      </c>
      <c r="H5" s="14"/>
      <c r="I5" s="15"/>
      <c r="J5" s="16"/>
      <c r="K5" s="16"/>
      <c r="L5" s="16"/>
      <c r="M5" s="16"/>
      <c r="N5" s="16"/>
      <c r="O5" s="16"/>
      <c r="P5" s="16"/>
      <c r="Q5" s="16"/>
      <c r="R5" s="16"/>
      <c r="S5" s="16"/>
      <c r="T5" s="16"/>
      <c r="U5" s="16"/>
      <c r="V5" s="16"/>
      <c r="W5" s="16"/>
      <c r="X5" s="16"/>
      <c r="Y5" s="16"/>
      <c r="Z5" s="16"/>
      <c r="AA5" s="16"/>
    </row>
    <row r="6" ht="30.75" customHeight="1">
      <c r="A6" s="19">
        <v>2.0</v>
      </c>
      <c r="B6" s="18" t="s">
        <v>16</v>
      </c>
      <c r="C6" s="23" t="s">
        <v>17</v>
      </c>
      <c r="D6" s="20" t="s">
        <v>18</v>
      </c>
      <c r="E6" s="19">
        <v>2.0</v>
      </c>
      <c r="F6" s="24">
        <v>896500.0</v>
      </c>
      <c r="G6" s="22">
        <f t="shared" si="1"/>
        <v>1793000</v>
      </c>
      <c r="H6" s="14"/>
      <c r="I6" s="15"/>
      <c r="J6" s="16"/>
      <c r="K6" s="16"/>
      <c r="L6" s="16"/>
      <c r="M6" s="16"/>
      <c r="N6" s="16"/>
      <c r="O6" s="16"/>
      <c r="P6" s="16"/>
      <c r="Q6" s="16"/>
      <c r="R6" s="16"/>
      <c r="S6" s="16"/>
      <c r="T6" s="16"/>
      <c r="U6" s="16"/>
      <c r="V6" s="16"/>
      <c r="W6" s="16"/>
      <c r="X6" s="16"/>
      <c r="Y6" s="16"/>
      <c r="Z6" s="16"/>
      <c r="AA6" s="16"/>
    </row>
    <row r="7" ht="30.75" customHeight="1">
      <c r="A7" s="19">
        <v>3.0</v>
      </c>
      <c r="B7" s="18" t="s">
        <v>19</v>
      </c>
      <c r="C7" s="23" t="s">
        <v>17</v>
      </c>
      <c r="D7" s="20" t="s">
        <v>18</v>
      </c>
      <c r="E7" s="19">
        <v>3.0</v>
      </c>
      <c r="F7" s="24">
        <v>896500.0</v>
      </c>
      <c r="G7" s="22">
        <f t="shared" si="1"/>
        <v>2689500</v>
      </c>
      <c r="H7" s="14"/>
      <c r="I7" s="15"/>
      <c r="J7" s="16"/>
      <c r="K7" s="16"/>
      <c r="L7" s="16"/>
      <c r="M7" s="16"/>
      <c r="N7" s="16"/>
      <c r="O7" s="16"/>
      <c r="P7" s="16"/>
      <c r="Q7" s="16"/>
      <c r="R7" s="16"/>
      <c r="S7" s="16"/>
      <c r="T7" s="16"/>
      <c r="U7" s="16"/>
      <c r="V7" s="16"/>
      <c r="W7" s="16"/>
      <c r="X7" s="16"/>
      <c r="Y7" s="16"/>
      <c r="Z7" s="16"/>
      <c r="AA7" s="16"/>
    </row>
    <row r="8" ht="30.75" customHeight="1">
      <c r="A8" s="19">
        <v>4.0</v>
      </c>
      <c r="B8" s="18" t="s">
        <v>20</v>
      </c>
      <c r="C8" s="19" t="s">
        <v>21</v>
      </c>
      <c r="D8" s="20" t="s">
        <v>22</v>
      </c>
      <c r="E8" s="19">
        <v>3.0</v>
      </c>
      <c r="F8" s="24">
        <v>814500.0</v>
      </c>
      <c r="G8" s="22">
        <f t="shared" si="1"/>
        <v>2443500</v>
      </c>
      <c r="H8" s="14"/>
      <c r="I8" s="15"/>
      <c r="J8" s="16"/>
      <c r="K8" s="16"/>
      <c r="L8" s="16"/>
      <c r="M8" s="16"/>
      <c r="N8" s="16"/>
      <c r="O8" s="16"/>
      <c r="P8" s="16"/>
      <c r="Q8" s="16"/>
      <c r="R8" s="16"/>
      <c r="S8" s="16"/>
      <c r="T8" s="16"/>
      <c r="U8" s="16"/>
      <c r="V8" s="16"/>
      <c r="W8" s="16"/>
      <c r="X8" s="16"/>
      <c r="Y8" s="16"/>
      <c r="Z8" s="16"/>
      <c r="AA8" s="16"/>
    </row>
    <row r="9" ht="37.5" customHeight="1">
      <c r="A9" s="25" t="s">
        <v>23</v>
      </c>
      <c r="B9" s="5"/>
      <c r="C9" s="5"/>
      <c r="D9" s="6"/>
      <c r="E9" s="26"/>
      <c r="F9" s="27"/>
      <c r="G9" s="28">
        <f>SUM(G4:G8)</f>
        <v>9746000</v>
      </c>
      <c r="H9" s="29"/>
      <c r="I9" s="30"/>
      <c r="J9" s="16"/>
      <c r="K9" s="16"/>
      <c r="L9" s="16"/>
      <c r="M9" s="16"/>
      <c r="N9" s="16"/>
      <c r="O9" s="16"/>
      <c r="P9" s="16"/>
      <c r="Q9" s="16"/>
      <c r="R9" s="16"/>
      <c r="S9" s="16"/>
      <c r="T9" s="16"/>
      <c r="U9" s="16"/>
      <c r="V9" s="16"/>
      <c r="W9" s="16"/>
      <c r="X9" s="16"/>
      <c r="Y9" s="16"/>
      <c r="Z9" s="16"/>
      <c r="AA9" s="16"/>
    </row>
    <row r="10" ht="34.5" customHeight="1">
      <c r="A10" s="16"/>
      <c r="B10" s="31"/>
      <c r="C10" s="31"/>
      <c r="D10" s="31"/>
      <c r="E10" s="31"/>
      <c r="F10" s="31"/>
      <c r="G10" s="32"/>
      <c r="H10" s="16"/>
      <c r="I10" s="16"/>
      <c r="J10" s="16"/>
      <c r="K10" s="16"/>
      <c r="L10" s="16"/>
      <c r="M10" s="16"/>
      <c r="N10" s="16"/>
      <c r="O10" s="16"/>
      <c r="P10" s="16"/>
      <c r="Q10" s="16"/>
      <c r="R10" s="16"/>
      <c r="S10" s="16"/>
      <c r="T10" s="16"/>
      <c r="U10" s="16"/>
      <c r="V10" s="16"/>
      <c r="W10" s="16"/>
      <c r="X10" s="16"/>
      <c r="Y10" s="16"/>
      <c r="Z10" s="16"/>
      <c r="AA10" s="16"/>
    </row>
    <row r="11" ht="33.75" customHeight="1">
      <c r="A11" s="3" t="s">
        <v>1</v>
      </c>
      <c r="B11" s="33" t="s">
        <v>24</v>
      </c>
      <c r="C11" s="34"/>
      <c r="D11" s="34"/>
      <c r="E11" s="34"/>
      <c r="F11" s="34"/>
      <c r="G11" s="34"/>
      <c r="H11" s="34"/>
      <c r="I11" s="34"/>
      <c r="J11" s="35"/>
      <c r="K11" s="2"/>
      <c r="L11" s="2"/>
      <c r="M11" s="2"/>
      <c r="N11" s="2"/>
      <c r="O11" s="2"/>
      <c r="P11" s="2"/>
      <c r="Q11" s="2"/>
      <c r="R11" s="2"/>
      <c r="S11" s="2"/>
      <c r="T11" s="2"/>
      <c r="U11" s="2"/>
      <c r="V11" s="2"/>
      <c r="W11" s="2"/>
      <c r="X11" s="2"/>
      <c r="Y11" s="2"/>
      <c r="Z11" s="2"/>
      <c r="AA11" s="2"/>
    </row>
    <row r="12" ht="46.5" customHeight="1">
      <c r="A12" s="36"/>
      <c r="B12" s="37" t="s">
        <v>25</v>
      </c>
      <c r="C12" s="38" t="s">
        <v>26</v>
      </c>
      <c r="D12" s="13" t="s">
        <v>27</v>
      </c>
      <c r="E12" s="37" t="s">
        <v>28</v>
      </c>
      <c r="F12" s="39" t="s">
        <v>29</v>
      </c>
      <c r="G12" s="39" t="s">
        <v>30</v>
      </c>
      <c r="H12" s="40" t="s">
        <v>9</v>
      </c>
      <c r="I12" s="13" t="s">
        <v>31</v>
      </c>
      <c r="J12" s="13" t="s">
        <v>32</v>
      </c>
      <c r="K12" s="2"/>
      <c r="L12" s="2"/>
      <c r="M12" s="2"/>
      <c r="N12" s="2"/>
      <c r="O12" s="2"/>
      <c r="P12" s="2"/>
      <c r="Q12" s="2"/>
      <c r="R12" s="2"/>
      <c r="S12" s="2"/>
      <c r="T12" s="2"/>
      <c r="U12" s="2"/>
      <c r="V12" s="2"/>
      <c r="W12" s="2"/>
      <c r="X12" s="2"/>
      <c r="Y12" s="2"/>
      <c r="Z12" s="2"/>
      <c r="AA12" s="2"/>
    </row>
    <row r="13">
      <c r="A13" s="41">
        <v>1.0</v>
      </c>
      <c r="B13" s="42" t="s">
        <v>33</v>
      </c>
      <c r="C13" s="43" t="s">
        <v>34</v>
      </c>
      <c r="D13" s="44" t="s">
        <v>35</v>
      </c>
      <c r="E13" s="45" t="s">
        <v>36</v>
      </c>
      <c r="F13" s="46">
        <v>10.0</v>
      </c>
      <c r="G13" s="47">
        <v>36000.0</v>
      </c>
      <c r="H13" s="48">
        <f t="shared" ref="H13:H39" si="2">SUM(G13*F13)</f>
        <v>360000</v>
      </c>
      <c r="I13" s="49"/>
      <c r="J13" s="50" t="s">
        <v>37</v>
      </c>
      <c r="K13" s="51"/>
      <c r="L13" s="51"/>
      <c r="M13" s="51"/>
      <c r="N13" s="51"/>
      <c r="O13" s="51"/>
      <c r="P13" s="51"/>
      <c r="Q13" s="51"/>
      <c r="R13" s="51"/>
      <c r="S13" s="51"/>
      <c r="T13" s="51"/>
      <c r="U13" s="51"/>
      <c r="V13" s="51"/>
      <c r="W13" s="51"/>
      <c r="X13" s="51"/>
      <c r="Y13" s="51"/>
      <c r="Z13" s="51"/>
      <c r="AA13" s="51"/>
    </row>
    <row r="14" ht="114.0" customHeight="1">
      <c r="A14" s="12"/>
      <c r="B14" s="12"/>
      <c r="C14" s="43" t="s">
        <v>38</v>
      </c>
      <c r="D14" s="44" t="s">
        <v>39</v>
      </c>
      <c r="E14" s="45" t="s">
        <v>40</v>
      </c>
      <c r="F14" s="46">
        <v>5.0</v>
      </c>
      <c r="G14" s="52">
        <v>66000.0</v>
      </c>
      <c r="H14" s="48">
        <f t="shared" si="2"/>
        <v>330000</v>
      </c>
      <c r="I14" s="49"/>
      <c r="J14" s="12"/>
      <c r="K14" s="51"/>
      <c r="L14" s="51"/>
      <c r="M14" s="51"/>
      <c r="N14" s="51"/>
      <c r="O14" s="51"/>
      <c r="P14" s="51"/>
      <c r="Q14" s="51"/>
      <c r="R14" s="51"/>
      <c r="S14" s="51"/>
      <c r="T14" s="51"/>
      <c r="U14" s="51"/>
      <c r="V14" s="51"/>
      <c r="W14" s="51"/>
      <c r="X14" s="51"/>
      <c r="Y14" s="51"/>
      <c r="Z14" s="51"/>
      <c r="AA14" s="51"/>
    </row>
    <row r="15">
      <c r="A15" s="41">
        <v>2.0</v>
      </c>
      <c r="B15" s="42" t="s">
        <v>41</v>
      </c>
      <c r="C15" s="53" t="s">
        <v>42</v>
      </c>
      <c r="D15" s="54" t="s">
        <v>43</v>
      </c>
      <c r="E15" s="55" t="s">
        <v>44</v>
      </c>
      <c r="F15" s="56">
        <v>3.0</v>
      </c>
      <c r="G15" s="57">
        <v>107000.0</v>
      </c>
      <c r="H15" s="58">
        <f t="shared" si="2"/>
        <v>321000</v>
      </c>
      <c r="I15" s="59"/>
      <c r="J15" s="50" t="s">
        <v>45</v>
      </c>
      <c r="K15" s="51"/>
      <c r="L15" s="51"/>
      <c r="M15" s="51"/>
      <c r="N15" s="51"/>
      <c r="O15" s="51"/>
      <c r="P15" s="51"/>
      <c r="Q15" s="51"/>
      <c r="R15" s="51"/>
      <c r="S15" s="51"/>
      <c r="T15" s="51"/>
      <c r="U15" s="51"/>
      <c r="V15" s="51"/>
      <c r="W15" s="51"/>
      <c r="X15" s="51"/>
      <c r="Y15" s="51"/>
      <c r="Z15" s="51"/>
      <c r="AA15" s="51"/>
    </row>
    <row r="16" ht="90.0" customHeight="1">
      <c r="A16" s="12"/>
      <c r="B16" s="12"/>
      <c r="C16" s="60" t="s">
        <v>46</v>
      </c>
      <c r="D16" s="61" t="s">
        <v>47</v>
      </c>
      <c r="E16" s="62" t="s">
        <v>44</v>
      </c>
      <c r="F16" s="63">
        <v>3.0</v>
      </c>
      <c r="G16" s="64">
        <v>100000.0</v>
      </c>
      <c r="H16" s="48">
        <f t="shared" si="2"/>
        <v>300000</v>
      </c>
      <c r="I16" s="49"/>
      <c r="J16" s="12"/>
      <c r="K16" s="51"/>
      <c r="L16" s="51"/>
      <c r="M16" s="51"/>
      <c r="N16" s="51"/>
      <c r="O16" s="51"/>
      <c r="P16" s="51"/>
      <c r="Q16" s="51"/>
      <c r="R16" s="51"/>
      <c r="S16" s="51"/>
      <c r="T16" s="51"/>
      <c r="U16" s="51"/>
      <c r="V16" s="51"/>
      <c r="W16" s="51"/>
      <c r="X16" s="51"/>
      <c r="Y16" s="51"/>
      <c r="Z16" s="51"/>
      <c r="AA16" s="51"/>
    </row>
    <row r="17">
      <c r="A17" s="17">
        <v>3.0</v>
      </c>
      <c r="B17" s="65" t="s">
        <v>48</v>
      </c>
      <c r="C17" s="44" t="s">
        <v>49</v>
      </c>
      <c r="D17" s="44" t="s">
        <v>50</v>
      </c>
      <c r="E17" s="45" t="s">
        <v>51</v>
      </c>
      <c r="F17" s="45">
        <v>1.0</v>
      </c>
      <c r="G17" s="66">
        <v>219000.0</v>
      </c>
      <c r="H17" s="48">
        <f t="shared" si="2"/>
        <v>219000</v>
      </c>
      <c r="I17" s="67"/>
      <c r="J17" s="68" t="s">
        <v>52</v>
      </c>
      <c r="K17" s="16"/>
      <c r="L17" s="16"/>
      <c r="M17" s="16"/>
      <c r="N17" s="16"/>
      <c r="O17" s="69"/>
      <c r="P17" s="69"/>
      <c r="Q17" s="31"/>
      <c r="R17" s="70"/>
      <c r="S17" s="32"/>
      <c r="T17" s="16"/>
      <c r="U17" s="16"/>
      <c r="V17" s="16"/>
      <c r="W17" s="16"/>
      <c r="X17" s="16"/>
      <c r="Y17" s="16"/>
      <c r="Z17" s="16"/>
      <c r="AA17" s="16"/>
    </row>
    <row r="18" ht="25.5" customHeight="1">
      <c r="A18" s="71"/>
      <c r="B18" s="71"/>
      <c r="C18" s="44" t="s">
        <v>53</v>
      </c>
      <c r="D18" s="44" t="s">
        <v>54</v>
      </c>
      <c r="E18" s="45" t="s">
        <v>40</v>
      </c>
      <c r="F18" s="45">
        <v>1.0</v>
      </c>
      <c r="G18" s="66">
        <v>100000.0</v>
      </c>
      <c r="H18" s="48">
        <f t="shared" si="2"/>
        <v>100000</v>
      </c>
      <c r="I18" s="67"/>
      <c r="J18" s="71"/>
      <c r="K18" s="16"/>
      <c r="L18" s="16"/>
      <c r="M18" s="16"/>
      <c r="N18" s="16"/>
      <c r="O18" s="69"/>
      <c r="P18" s="69"/>
      <c r="Q18" s="31"/>
      <c r="R18" s="70"/>
      <c r="S18" s="32"/>
      <c r="T18" s="16"/>
      <c r="U18" s="16"/>
      <c r="V18" s="16"/>
      <c r="W18" s="16"/>
      <c r="X18" s="16"/>
      <c r="Y18" s="16"/>
      <c r="Z18" s="16"/>
      <c r="AA18" s="16"/>
    </row>
    <row r="19" ht="29.25" customHeight="1">
      <c r="A19" s="12"/>
      <c r="B19" s="12"/>
      <c r="C19" s="18" t="s">
        <v>55</v>
      </c>
      <c r="D19" s="18" t="s">
        <v>56</v>
      </c>
      <c r="E19" s="19" t="s">
        <v>51</v>
      </c>
      <c r="F19" s="19">
        <v>1.0</v>
      </c>
      <c r="G19" s="66">
        <v>194000.0</v>
      </c>
      <c r="H19" s="48">
        <f t="shared" si="2"/>
        <v>194000</v>
      </c>
      <c r="I19" s="67"/>
      <c r="J19" s="71"/>
      <c r="K19" s="16"/>
      <c r="L19" s="16"/>
      <c r="M19" s="16"/>
      <c r="N19" s="16"/>
      <c r="O19" s="16"/>
      <c r="P19" s="16"/>
      <c r="Q19" s="16"/>
      <c r="R19" s="16"/>
      <c r="S19" s="16"/>
      <c r="T19" s="16"/>
      <c r="U19" s="16"/>
      <c r="V19" s="16"/>
      <c r="W19" s="16"/>
      <c r="X19" s="16"/>
      <c r="Y19" s="16"/>
      <c r="Z19" s="16"/>
      <c r="AA19" s="16"/>
    </row>
    <row r="20">
      <c r="A20" s="17">
        <v>4.0</v>
      </c>
      <c r="B20" s="72" t="s">
        <v>57</v>
      </c>
      <c r="C20" s="73" t="s">
        <v>58</v>
      </c>
      <c r="D20" s="20" t="s">
        <v>59</v>
      </c>
      <c r="E20" s="19" t="s">
        <v>40</v>
      </c>
      <c r="F20" s="74">
        <v>2.0</v>
      </c>
      <c r="G20" s="66">
        <v>86000.0</v>
      </c>
      <c r="H20" s="48">
        <f t="shared" si="2"/>
        <v>172000</v>
      </c>
      <c r="I20" s="67"/>
      <c r="J20" s="68" t="s">
        <v>52</v>
      </c>
      <c r="K20" s="16"/>
      <c r="L20" s="16"/>
      <c r="M20" s="16"/>
      <c r="N20" s="16"/>
      <c r="O20" s="16"/>
      <c r="P20" s="16"/>
      <c r="Q20" s="16"/>
      <c r="R20" s="16"/>
      <c r="S20" s="16"/>
      <c r="T20" s="16"/>
      <c r="U20" s="16"/>
      <c r="V20" s="16"/>
      <c r="W20" s="16"/>
      <c r="X20" s="16"/>
      <c r="Y20" s="16"/>
      <c r="Z20" s="16"/>
      <c r="AA20" s="16"/>
    </row>
    <row r="21">
      <c r="A21" s="71"/>
      <c r="B21" s="71"/>
      <c r="C21" s="43" t="s">
        <v>60</v>
      </c>
      <c r="D21" s="67" t="s">
        <v>61</v>
      </c>
      <c r="E21" s="19" t="s">
        <v>51</v>
      </c>
      <c r="F21" s="63">
        <v>1.0</v>
      </c>
      <c r="G21" s="75">
        <v>314000.0</v>
      </c>
      <c r="H21" s="48">
        <f t="shared" si="2"/>
        <v>314000</v>
      </c>
      <c r="I21" s="67"/>
      <c r="J21" s="71"/>
      <c r="K21" s="2"/>
      <c r="L21" s="2"/>
      <c r="M21" s="2"/>
      <c r="N21" s="2"/>
      <c r="O21" s="2"/>
      <c r="P21" s="2"/>
      <c r="Q21" s="2"/>
      <c r="R21" s="2"/>
      <c r="S21" s="2"/>
      <c r="T21" s="2"/>
      <c r="U21" s="2"/>
      <c r="V21" s="2"/>
      <c r="W21" s="2"/>
      <c r="X21" s="2"/>
      <c r="Y21" s="2"/>
      <c r="Z21" s="2"/>
      <c r="AA21" s="2"/>
    </row>
    <row r="22" ht="34.5" customHeight="1">
      <c r="A22" s="71"/>
      <c r="B22" s="71"/>
      <c r="C22" s="60" t="s">
        <v>62</v>
      </c>
      <c r="D22" s="44" t="s">
        <v>54</v>
      </c>
      <c r="E22" s="45" t="s">
        <v>40</v>
      </c>
      <c r="F22" s="45">
        <v>1.0</v>
      </c>
      <c r="G22" s="66">
        <v>100000.0</v>
      </c>
      <c r="H22" s="48">
        <f t="shared" si="2"/>
        <v>100000</v>
      </c>
      <c r="I22" s="67"/>
      <c r="J22" s="71"/>
      <c r="K22" s="16"/>
      <c r="L22" s="16"/>
      <c r="M22" s="16"/>
      <c r="N22" s="16"/>
      <c r="O22" s="16"/>
      <c r="P22" s="16"/>
      <c r="Q22" s="16"/>
      <c r="R22" s="16"/>
      <c r="S22" s="16"/>
      <c r="T22" s="16"/>
      <c r="U22" s="16"/>
      <c r="V22" s="16"/>
      <c r="W22" s="16"/>
      <c r="X22" s="16"/>
      <c r="Y22" s="16"/>
      <c r="Z22" s="16"/>
      <c r="AA22" s="16"/>
    </row>
    <row r="23">
      <c r="A23" s="12"/>
      <c r="B23" s="12"/>
      <c r="C23" s="76" t="s">
        <v>63</v>
      </c>
      <c r="D23" s="54" t="s">
        <v>64</v>
      </c>
      <c r="E23" s="55" t="s">
        <v>65</v>
      </c>
      <c r="F23" s="55">
        <v>10.0</v>
      </c>
      <c r="G23" s="77"/>
      <c r="H23" s="58">
        <f t="shared" si="2"/>
        <v>0</v>
      </c>
      <c r="I23" s="59" t="s">
        <v>66</v>
      </c>
      <c r="J23" s="12"/>
      <c r="K23" s="16"/>
      <c r="L23" s="16"/>
      <c r="M23" s="16"/>
      <c r="N23" s="16"/>
      <c r="O23" s="16"/>
      <c r="P23" s="16"/>
      <c r="Q23" s="16"/>
      <c r="R23" s="16"/>
      <c r="S23" s="16"/>
      <c r="T23" s="16"/>
      <c r="U23" s="16"/>
      <c r="V23" s="16"/>
      <c r="W23" s="16"/>
      <c r="X23" s="16"/>
      <c r="Y23" s="16"/>
      <c r="Z23" s="16"/>
      <c r="AA23" s="16"/>
    </row>
    <row r="24">
      <c r="A24" s="17">
        <v>5.0</v>
      </c>
      <c r="B24" s="72" t="s">
        <v>67</v>
      </c>
      <c r="C24" s="73" t="s">
        <v>55</v>
      </c>
      <c r="D24" s="18" t="s">
        <v>56</v>
      </c>
      <c r="E24" s="19" t="s">
        <v>51</v>
      </c>
      <c r="F24" s="74">
        <v>1.0</v>
      </c>
      <c r="G24" s="78">
        <v>194000.0</v>
      </c>
      <c r="H24" s="48">
        <f t="shared" si="2"/>
        <v>194000</v>
      </c>
      <c r="I24" s="67"/>
      <c r="J24" s="68" t="s">
        <v>52</v>
      </c>
      <c r="K24" s="16"/>
      <c r="L24" s="16"/>
      <c r="M24" s="16"/>
      <c r="N24" s="16"/>
      <c r="O24" s="16"/>
      <c r="P24" s="16"/>
      <c r="Q24" s="16"/>
      <c r="R24" s="16"/>
      <c r="S24" s="16"/>
      <c r="T24" s="16"/>
      <c r="U24" s="16"/>
      <c r="V24" s="16"/>
      <c r="W24" s="16"/>
      <c r="X24" s="16"/>
      <c r="Y24" s="16"/>
      <c r="Z24" s="16"/>
      <c r="AA24" s="16"/>
    </row>
    <row r="25">
      <c r="A25" s="71"/>
      <c r="B25" s="71"/>
      <c r="C25" s="73" t="s">
        <v>68</v>
      </c>
      <c r="D25" s="20" t="s">
        <v>69</v>
      </c>
      <c r="E25" s="19" t="s">
        <v>70</v>
      </c>
      <c r="F25" s="74">
        <v>1.5</v>
      </c>
      <c r="G25" s="79">
        <v>299000.0</v>
      </c>
      <c r="H25" s="48">
        <f t="shared" si="2"/>
        <v>448500</v>
      </c>
      <c r="I25" s="67"/>
      <c r="J25" s="71"/>
      <c r="K25" s="16"/>
      <c r="L25" s="16"/>
      <c r="M25" s="16"/>
      <c r="N25" s="16"/>
      <c r="O25" s="16"/>
      <c r="P25" s="16"/>
      <c r="Q25" s="16"/>
      <c r="R25" s="16"/>
      <c r="S25" s="16"/>
      <c r="T25" s="16"/>
      <c r="U25" s="16"/>
      <c r="V25" s="16"/>
      <c r="W25" s="16"/>
      <c r="X25" s="16"/>
      <c r="Y25" s="16"/>
      <c r="Z25" s="16"/>
      <c r="AA25" s="16"/>
    </row>
    <row r="26">
      <c r="A26" s="71"/>
      <c r="B26" s="71"/>
      <c r="C26" s="43" t="s">
        <v>71</v>
      </c>
      <c r="D26" s="80" t="s">
        <v>72</v>
      </c>
      <c r="E26" s="45" t="s">
        <v>73</v>
      </c>
      <c r="F26" s="46">
        <v>5.0</v>
      </c>
      <c r="G26" s="78">
        <v>25000.0</v>
      </c>
      <c r="H26" s="48">
        <f t="shared" si="2"/>
        <v>125000</v>
      </c>
      <c r="I26" s="67"/>
      <c r="J26" s="71"/>
      <c r="K26" s="2"/>
      <c r="L26" s="2"/>
      <c r="M26" s="2"/>
      <c r="N26" s="2"/>
      <c r="O26" s="2"/>
      <c r="P26" s="2"/>
      <c r="Q26" s="2"/>
      <c r="R26" s="2"/>
      <c r="S26" s="2"/>
      <c r="T26" s="2"/>
      <c r="U26" s="2"/>
      <c r="V26" s="2"/>
      <c r="W26" s="2"/>
      <c r="X26" s="2"/>
      <c r="Y26" s="2"/>
      <c r="Z26" s="2"/>
      <c r="AA26" s="2"/>
    </row>
    <row r="27">
      <c r="A27" s="71"/>
      <c r="B27" s="71"/>
      <c r="C27" s="73" t="s">
        <v>74</v>
      </c>
      <c r="D27" s="20" t="s">
        <v>75</v>
      </c>
      <c r="E27" s="19" t="s">
        <v>40</v>
      </c>
      <c r="F27" s="74">
        <v>2.0</v>
      </c>
      <c r="G27" s="78">
        <v>90000.0</v>
      </c>
      <c r="H27" s="48">
        <f t="shared" si="2"/>
        <v>180000</v>
      </c>
      <c r="I27" s="67"/>
      <c r="J27" s="71"/>
      <c r="K27" s="16"/>
      <c r="L27" s="16"/>
      <c r="M27" s="16"/>
      <c r="N27" s="16"/>
      <c r="O27" s="16"/>
      <c r="P27" s="16"/>
      <c r="Q27" s="16"/>
      <c r="R27" s="16"/>
      <c r="S27" s="16"/>
      <c r="T27" s="16"/>
      <c r="U27" s="16"/>
      <c r="V27" s="16"/>
      <c r="W27" s="16"/>
      <c r="X27" s="16"/>
      <c r="Y27" s="16"/>
      <c r="Z27" s="16"/>
      <c r="AA27" s="16"/>
    </row>
    <row r="28">
      <c r="A28" s="12"/>
      <c r="B28" s="12"/>
      <c r="C28" s="76" t="s">
        <v>63</v>
      </c>
      <c r="D28" s="54" t="s">
        <v>64</v>
      </c>
      <c r="E28" s="55" t="s">
        <v>65</v>
      </c>
      <c r="F28" s="55">
        <v>10.0</v>
      </c>
      <c r="G28" s="81"/>
      <c r="H28" s="58">
        <f t="shared" si="2"/>
        <v>0</v>
      </c>
      <c r="I28" s="59" t="s">
        <v>66</v>
      </c>
      <c r="J28" s="12"/>
      <c r="K28" s="16"/>
      <c r="L28" s="16"/>
      <c r="M28" s="16"/>
      <c r="N28" s="16"/>
      <c r="O28" s="16"/>
      <c r="P28" s="16"/>
      <c r="Q28" s="16"/>
      <c r="R28" s="16"/>
      <c r="S28" s="16"/>
      <c r="T28" s="16"/>
      <c r="U28" s="16"/>
      <c r="V28" s="16"/>
      <c r="W28" s="16"/>
      <c r="X28" s="16"/>
      <c r="Y28" s="16"/>
      <c r="Z28" s="16"/>
      <c r="AA28" s="16"/>
    </row>
    <row r="29">
      <c r="A29" s="82">
        <v>6.0</v>
      </c>
      <c r="B29" s="72" t="s">
        <v>76</v>
      </c>
      <c r="C29" s="43" t="s">
        <v>71</v>
      </c>
      <c r="D29" s="80" t="s">
        <v>72</v>
      </c>
      <c r="E29" s="45" t="s">
        <v>73</v>
      </c>
      <c r="F29" s="46">
        <v>5.0</v>
      </c>
      <c r="G29" s="78">
        <v>25000.0</v>
      </c>
      <c r="H29" s="48">
        <f t="shared" si="2"/>
        <v>125000</v>
      </c>
      <c r="I29" s="67"/>
      <c r="J29" s="83"/>
      <c r="K29" s="2"/>
      <c r="L29" s="2"/>
      <c r="M29" s="2"/>
      <c r="N29" s="2"/>
      <c r="O29" s="2"/>
      <c r="P29" s="2"/>
      <c r="Q29" s="2"/>
      <c r="R29" s="2"/>
      <c r="S29" s="2"/>
      <c r="T29" s="2"/>
      <c r="U29" s="2"/>
      <c r="V29" s="2"/>
      <c r="W29" s="2"/>
      <c r="X29" s="2"/>
      <c r="Y29" s="2"/>
      <c r="Z29" s="2"/>
      <c r="AA29" s="2"/>
    </row>
    <row r="30" ht="28.5" customHeight="1">
      <c r="A30" s="15"/>
      <c r="B30" s="71"/>
      <c r="C30" s="43" t="s">
        <v>62</v>
      </c>
      <c r="D30" s="44" t="s">
        <v>54</v>
      </c>
      <c r="E30" s="45" t="s">
        <v>40</v>
      </c>
      <c r="F30" s="46">
        <v>1.0</v>
      </c>
      <c r="G30" s="66">
        <v>100000.0</v>
      </c>
      <c r="H30" s="48">
        <f t="shared" si="2"/>
        <v>100000</v>
      </c>
      <c r="I30" s="67"/>
      <c r="J30" s="68" t="s">
        <v>77</v>
      </c>
      <c r="K30" s="16"/>
      <c r="L30" s="16"/>
      <c r="M30" s="16"/>
      <c r="N30" s="16"/>
      <c r="O30" s="16"/>
      <c r="P30" s="16"/>
      <c r="Q30" s="16"/>
      <c r="R30" s="16"/>
      <c r="S30" s="16"/>
      <c r="T30" s="16"/>
      <c r="U30" s="16"/>
      <c r="V30" s="16"/>
      <c r="W30" s="16"/>
      <c r="X30" s="16"/>
      <c r="Y30" s="16"/>
      <c r="Z30" s="16"/>
      <c r="AA30" s="16"/>
    </row>
    <row r="31" ht="43.5" customHeight="1">
      <c r="A31" s="15"/>
      <c r="B31" s="71"/>
      <c r="C31" s="84" t="s">
        <v>78</v>
      </c>
      <c r="D31" s="68" t="s">
        <v>79</v>
      </c>
      <c r="E31" s="19" t="s">
        <v>40</v>
      </c>
      <c r="F31" s="82">
        <v>2.0</v>
      </c>
      <c r="G31" s="75">
        <v>96000.0</v>
      </c>
      <c r="H31" s="48">
        <f t="shared" si="2"/>
        <v>192000</v>
      </c>
      <c r="I31" s="67"/>
      <c r="J31" s="71"/>
      <c r="K31" s="16"/>
      <c r="L31" s="16"/>
      <c r="M31" s="16"/>
      <c r="N31" s="16"/>
      <c r="O31" s="16"/>
      <c r="P31" s="16"/>
      <c r="Q31" s="16"/>
      <c r="R31" s="16"/>
      <c r="S31" s="16"/>
      <c r="T31" s="16"/>
      <c r="U31" s="16"/>
      <c r="V31" s="16"/>
      <c r="W31" s="16"/>
      <c r="X31" s="16"/>
      <c r="Y31" s="16"/>
      <c r="Z31" s="16"/>
      <c r="AA31" s="16"/>
    </row>
    <row r="32" ht="25.5" customHeight="1">
      <c r="A32" s="15"/>
      <c r="B32" s="71"/>
      <c r="C32" s="43" t="s">
        <v>80</v>
      </c>
      <c r="D32" s="85" t="s">
        <v>50</v>
      </c>
      <c r="E32" s="45" t="s">
        <v>51</v>
      </c>
      <c r="F32" s="46">
        <v>1.0</v>
      </c>
      <c r="G32" s="66">
        <v>219000.0</v>
      </c>
      <c r="H32" s="48">
        <f t="shared" si="2"/>
        <v>219000</v>
      </c>
      <c r="I32" s="67"/>
      <c r="J32" s="71"/>
      <c r="K32" s="16"/>
      <c r="L32" s="16"/>
      <c r="M32" s="16"/>
      <c r="N32" s="16"/>
      <c r="O32" s="16"/>
      <c r="P32" s="16"/>
      <c r="Q32" s="16"/>
      <c r="R32" s="16"/>
      <c r="S32" s="16"/>
      <c r="T32" s="16"/>
      <c r="U32" s="16"/>
      <c r="V32" s="16"/>
      <c r="W32" s="16"/>
      <c r="X32" s="16"/>
      <c r="Y32" s="16"/>
      <c r="Z32" s="16"/>
      <c r="AA32" s="16"/>
    </row>
    <row r="33" ht="43.5" customHeight="1">
      <c r="A33" s="15"/>
      <c r="B33" s="71"/>
      <c r="C33" s="73" t="s">
        <v>81</v>
      </c>
      <c r="D33" s="20" t="s">
        <v>82</v>
      </c>
      <c r="E33" s="19" t="s">
        <v>40</v>
      </c>
      <c r="F33" s="74">
        <v>1.0</v>
      </c>
      <c r="G33" s="66">
        <v>288000.0</v>
      </c>
      <c r="H33" s="48">
        <f t="shared" si="2"/>
        <v>288000</v>
      </c>
      <c r="I33" s="67"/>
      <c r="J33" s="71"/>
      <c r="K33" s="16"/>
      <c r="L33" s="16"/>
      <c r="M33" s="16"/>
      <c r="N33" s="16"/>
      <c r="O33" s="16"/>
      <c r="P33" s="16"/>
      <c r="Q33" s="16"/>
      <c r="R33" s="16"/>
      <c r="S33" s="16"/>
      <c r="T33" s="16"/>
      <c r="U33" s="16"/>
      <c r="V33" s="16"/>
      <c r="W33" s="16"/>
      <c r="X33" s="16"/>
      <c r="Y33" s="16"/>
      <c r="Z33" s="16"/>
      <c r="AA33" s="16"/>
    </row>
    <row r="34" ht="55.5" customHeight="1">
      <c r="A34" s="30"/>
      <c r="B34" s="12"/>
      <c r="C34" s="76" t="s">
        <v>63</v>
      </c>
      <c r="D34" s="54" t="s">
        <v>64</v>
      </c>
      <c r="E34" s="55" t="s">
        <v>65</v>
      </c>
      <c r="F34" s="55">
        <v>10.0</v>
      </c>
      <c r="G34" s="77"/>
      <c r="H34" s="58">
        <f t="shared" si="2"/>
        <v>0</v>
      </c>
      <c r="I34" s="59" t="s">
        <v>66</v>
      </c>
      <c r="J34" s="12"/>
      <c r="K34" s="16"/>
      <c r="L34" s="16"/>
      <c r="M34" s="16"/>
      <c r="N34" s="16"/>
      <c r="O34" s="16"/>
      <c r="P34" s="16"/>
      <c r="Q34" s="16"/>
      <c r="R34" s="16"/>
      <c r="S34" s="16"/>
      <c r="T34" s="16"/>
      <c r="U34" s="16"/>
      <c r="V34" s="16"/>
      <c r="W34" s="16"/>
      <c r="X34" s="16"/>
      <c r="Y34" s="16"/>
      <c r="Z34" s="16"/>
      <c r="AA34" s="16"/>
    </row>
    <row r="35">
      <c r="A35" s="82">
        <v>7.0</v>
      </c>
      <c r="B35" s="72" t="s">
        <v>83</v>
      </c>
      <c r="C35" s="43" t="s">
        <v>71</v>
      </c>
      <c r="D35" s="80" t="s">
        <v>72</v>
      </c>
      <c r="E35" s="45" t="s">
        <v>73</v>
      </c>
      <c r="F35" s="46">
        <v>5.0</v>
      </c>
      <c r="G35" s="78">
        <v>25000.0</v>
      </c>
      <c r="H35" s="48">
        <f t="shared" si="2"/>
        <v>125000</v>
      </c>
      <c r="I35" s="67"/>
      <c r="J35" s="83"/>
      <c r="K35" s="2"/>
      <c r="L35" s="2"/>
      <c r="M35" s="2"/>
      <c r="N35" s="2"/>
      <c r="O35" s="2"/>
      <c r="P35" s="2"/>
      <c r="Q35" s="2"/>
      <c r="R35" s="2"/>
      <c r="S35" s="2"/>
      <c r="T35" s="2"/>
      <c r="U35" s="2"/>
      <c r="V35" s="2"/>
      <c r="W35" s="2"/>
      <c r="X35" s="2"/>
      <c r="Y35" s="2"/>
      <c r="Z35" s="2"/>
      <c r="AA35" s="2"/>
    </row>
    <row r="36" ht="43.5" customHeight="1">
      <c r="A36" s="15"/>
      <c r="B36" s="71"/>
      <c r="C36" s="73" t="s">
        <v>81</v>
      </c>
      <c r="D36" s="20" t="s">
        <v>82</v>
      </c>
      <c r="E36" s="19" t="s">
        <v>40</v>
      </c>
      <c r="F36" s="74">
        <v>1.0</v>
      </c>
      <c r="G36" s="66">
        <v>288000.0</v>
      </c>
      <c r="H36" s="48">
        <f t="shared" si="2"/>
        <v>288000</v>
      </c>
      <c r="I36" s="67"/>
      <c r="J36" s="68" t="s">
        <v>52</v>
      </c>
      <c r="K36" s="16"/>
      <c r="L36" s="16"/>
      <c r="M36" s="16"/>
      <c r="N36" s="16"/>
      <c r="O36" s="16"/>
      <c r="P36" s="16"/>
      <c r="Q36" s="16"/>
      <c r="R36" s="16"/>
      <c r="S36" s="16"/>
      <c r="T36" s="16"/>
      <c r="U36" s="16"/>
      <c r="V36" s="16"/>
      <c r="W36" s="16"/>
      <c r="X36" s="16"/>
      <c r="Y36" s="16"/>
      <c r="Z36" s="16"/>
      <c r="AA36" s="16"/>
    </row>
    <row r="37" ht="31.5" customHeight="1">
      <c r="A37" s="15"/>
      <c r="B37" s="71"/>
      <c r="C37" s="43" t="s">
        <v>80</v>
      </c>
      <c r="D37" s="85" t="s">
        <v>50</v>
      </c>
      <c r="E37" s="45" t="s">
        <v>51</v>
      </c>
      <c r="F37" s="46">
        <v>1.0</v>
      </c>
      <c r="G37" s="66">
        <v>219000.0</v>
      </c>
      <c r="H37" s="48">
        <f t="shared" si="2"/>
        <v>219000</v>
      </c>
      <c r="I37" s="67"/>
      <c r="J37" s="71"/>
      <c r="K37" s="16"/>
      <c r="L37" s="16"/>
      <c r="M37" s="16"/>
      <c r="N37" s="16"/>
      <c r="O37" s="16"/>
      <c r="P37" s="16"/>
      <c r="Q37" s="16"/>
      <c r="R37" s="16"/>
      <c r="S37" s="16"/>
      <c r="T37" s="16"/>
      <c r="U37" s="16"/>
      <c r="V37" s="16"/>
      <c r="W37" s="16"/>
      <c r="X37" s="16"/>
      <c r="Y37" s="16"/>
      <c r="Z37" s="16"/>
      <c r="AA37" s="16"/>
    </row>
    <row r="38" ht="55.5" customHeight="1">
      <c r="A38" s="15"/>
      <c r="B38" s="71"/>
      <c r="C38" s="76" t="s">
        <v>63</v>
      </c>
      <c r="D38" s="54" t="s">
        <v>64</v>
      </c>
      <c r="E38" s="55" t="s">
        <v>65</v>
      </c>
      <c r="F38" s="55">
        <v>6.0</v>
      </c>
      <c r="G38" s="77"/>
      <c r="H38" s="58">
        <f t="shared" si="2"/>
        <v>0</v>
      </c>
      <c r="I38" s="59" t="s">
        <v>66</v>
      </c>
      <c r="J38" s="71"/>
      <c r="K38" s="16"/>
      <c r="L38" s="16"/>
      <c r="M38" s="16"/>
      <c r="N38" s="16"/>
      <c r="O38" s="16"/>
      <c r="P38" s="16"/>
      <c r="Q38" s="16"/>
      <c r="R38" s="16"/>
      <c r="S38" s="16"/>
      <c r="T38" s="16"/>
      <c r="U38" s="16"/>
      <c r="V38" s="16"/>
      <c r="W38" s="16"/>
      <c r="X38" s="16"/>
      <c r="Y38" s="16"/>
      <c r="Z38" s="16"/>
      <c r="AA38" s="16"/>
    </row>
    <row r="39" ht="42.0" customHeight="1">
      <c r="A39" s="30"/>
      <c r="B39" s="12"/>
      <c r="C39" s="73" t="s">
        <v>84</v>
      </c>
      <c r="D39" s="20" t="s">
        <v>85</v>
      </c>
      <c r="E39" s="19" t="s">
        <v>86</v>
      </c>
      <c r="F39" s="74">
        <v>10.0</v>
      </c>
      <c r="G39" s="66">
        <v>26000.0</v>
      </c>
      <c r="H39" s="48">
        <f t="shared" si="2"/>
        <v>260000</v>
      </c>
      <c r="I39" s="67"/>
      <c r="J39" s="71"/>
      <c r="K39" s="16"/>
      <c r="L39" s="16"/>
      <c r="M39" s="16"/>
      <c r="N39" s="16"/>
      <c r="O39" s="16"/>
      <c r="P39" s="16"/>
      <c r="Q39" s="16"/>
      <c r="R39" s="16"/>
      <c r="S39" s="16"/>
      <c r="T39" s="16"/>
      <c r="U39" s="16"/>
      <c r="V39" s="16"/>
      <c r="W39" s="16"/>
      <c r="X39" s="16"/>
      <c r="Y39" s="16"/>
      <c r="Z39" s="16"/>
      <c r="AA39" s="16"/>
    </row>
    <row r="40" ht="28.5" customHeight="1">
      <c r="A40" s="25" t="s">
        <v>87</v>
      </c>
      <c r="B40" s="5"/>
      <c r="C40" s="5"/>
      <c r="D40" s="5"/>
      <c r="E40" s="6"/>
      <c r="F40" s="86"/>
      <c r="G40" s="86"/>
      <c r="H40" s="87">
        <f>SUM(H13:H39)</f>
        <v>5173500</v>
      </c>
      <c r="I40" s="86"/>
      <c r="J40" s="12"/>
      <c r="K40" s="16"/>
      <c r="L40" s="16"/>
      <c r="M40" s="16"/>
      <c r="N40" s="16"/>
      <c r="O40" s="16"/>
      <c r="P40" s="16"/>
      <c r="Q40" s="16"/>
      <c r="R40" s="16"/>
      <c r="S40" s="16"/>
      <c r="T40" s="16"/>
      <c r="U40" s="16"/>
      <c r="V40" s="16"/>
      <c r="W40" s="16"/>
      <c r="X40" s="16"/>
      <c r="Y40" s="16"/>
      <c r="Z40" s="16"/>
      <c r="AA40" s="16"/>
    </row>
    <row r="41" ht="15.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row>
    <row r="42" ht="15.75" customHeight="1">
      <c r="A42" s="88"/>
      <c r="B42" s="89" t="s">
        <v>88</v>
      </c>
      <c r="C42" s="89" t="s">
        <v>89</v>
      </c>
      <c r="D42" s="90"/>
      <c r="E42" s="89">
        <v>60.0</v>
      </c>
      <c r="F42" s="91">
        <v>26000.0</v>
      </c>
      <c r="G42" s="90"/>
      <c r="H42" s="92">
        <f>SUM(F42*E42)</f>
        <v>1560000</v>
      </c>
      <c r="I42" s="93"/>
      <c r="J42" s="94"/>
      <c r="K42" s="94"/>
      <c r="L42" s="94"/>
      <c r="M42" s="94"/>
      <c r="N42" s="94"/>
      <c r="O42" s="94"/>
      <c r="P42" s="94"/>
      <c r="Q42" s="94"/>
      <c r="R42" s="94"/>
      <c r="S42" s="94"/>
      <c r="T42" s="94"/>
      <c r="U42" s="94"/>
      <c r="V42" s="94"/>
      <c r="W42" s="94"/>
      <c r="X42" s="94"/>
      <c r="Y42" s="94"/>
      <c r="Z42" s="94"/>
      <c r="AA42" s="94"/>
    </row>
    <row r="43" ht="15.75" customHeight="1">
      <c r="A43" s="95"/>
      <c r="B43" s="96"/>
      <c r="C43" s="96"/>
      <c r="D43" s="96"/>
      <c r="E43" s="96"/>
      <c r="F43" s="96"/>
      <c r="G43" s="96"/>
      <c r="H43" s="96"/>
      <c r="I43" s="94"/>
      <c r="J43" s="94"/>
      <c r="K43" s="94"/>
      <c r="L43" s="94"/>
      <c r="M43" s="94"/>
      <c r="N43" s="94"/>
      <c r="O43" s="94"/>
      <c r="P43" s="94"/>
      <c r="Q43" s="94"/>
      <c r="R43" s="94"/>
      <c r="S43" s="94"/>
      <c r="T43" s="94"/>
      <c r="U43" s="94"/>
      <c r="V43" s="94"/>
      <c r="W43" s="94"/>
      <c r="X43" s="94"/>
      <c r="Y43" s="94"/>
      <c r="Z43" s="94"/>
      <c r="AA43" s="94"/>
    </row>
    <row r="44" ht="15.75" customHeight="1">
      <c r="A44" s="97" t="s">
        <v>1</v>
      </c>
      <c r="B44" s="98" t="s">
        <v>90</v>
      </c>
      <c r="C44" s="5"/>
      <c r="D44" s="5"/>
      <c r="E44" s="5"/>
      <c r="F44" s="5"/>
      <c r="G44" s="5"/>
      <c r="H44" s="6"/>
      <c r="I44" s="93"/>
      <c r="J44" s="94"/>
      <c r="K44" s="94"/>
      <c r="L44" s="94"/>
      <c r="M44" s="94"/>
      <c r="N44" s="94"/>
      <c r="O44" s="94"/>
      <c r="P44" s="94"/>
      <c r="Q44" s="94"/>
      <c r="R44" s="94"/>
      <c r="S44" s="94"/>
      <c r="T44" s="94"/>
      <c r="U44" s="94"/>
      <c r="V44" s="94"/>
      <c r="W44" s="94"/>
      <c r="X44" s="94"/>
      <c r="Y44" s="94"/>
      <c r="Z44" s="94"/>
      <c r="AA44" s="94"/>
    </row>
    <row r="45" ht="15.75" customHeight="1">
      <c r="A45" s="12"/>
      <c r="B45" s="99" t="s">
        <v>91</v>
      </c>
      <c r="C45" s="99" t="s">
        <v>92</v>
      </c>
      <c r="D45" s="99" t="s">
        <v>93</v>
      </c>
      <c r="E45" s="99" t="s">
        <v>94</v>
      </c>
      <c r="F45" s="99" t="s">
        <v>9</v>
      </c>
      <c r="G45" s="100"/>
      <c r="H45" s="99" t="s">
        <v>95</v>
      </c>
      <c r="I45" s="93"/>
      <c r="J45" s="94"/>
      <c r="K45" s="94"/>
      <c r="L45" s="94"/>
      <c r="M45" s="94"/>
      <c r="N45" s="94"/>
      <c r="O45" s="94"/>
      <c r="P45" s="94"/>
      <c r="Q45" s="94"/>
      <c r="R45" s="94"/>
      <c r="S45" s="94"/>
      <c r="T45" s="94"/>
      <c r="U45" s="94"/>
      <c r="V45" s="94"/>
      <c r="W45" s="94"/>
      <c r="X45" s="94"/>
      <c r="Y45" s="94"/>
      <c r="Z45" s="94"/>
      <c r="AA45" s="94"/>
    </row>
    <row r="46" ht="15.75" customHeight="1">
      <c r="A46" s="23">
        <v>1.0</v>
      </c>
      <c r="B46" s="80" t="s">
        <v>96</v>
      </c>
      <c r="C46" s="24">
        <v>2500000.0</v>
      </c>
      <c r="D46" s="80" t="s">
        <v>97</v>
      </c>
      <c r="E46" s="101">
        <v>1.0</v>
      </c>
      <c r="F46" s="24">
        <f t="shared" ref="F46:F47" si="3">C46</f>
        <v>2500000</v>
      </c>
      <c r="G46" s="80"/>
      <c r="H46" s="80"/>
      <c r="I46" s="93"/>
      <c r="J46" s="94"/>
      <c r="K46" s="94"/>
      <c r="L46" s="94"/>
      <c r="M46" s="94"/>
      <c r="N46" s="94"/>
      <c r="O46" s="94"/>
      <c r="P46" s="94"/>
      <c r="Q46" s="94"/>
      <c r="R46" s="94"/>
      <c r="S46" s="94"/>
      <c r="T46" s="94"/>
      <c r="U46" s="94"/>
      <c r="V46" s="94"/>
      <c r="W46" s="94"/>
      <c r="X46" s="94"/>
      <c r="Y46" s="94"/>
      <c r="Z46" s="94"/>
      <c r="AA46" s="94"/>
    </row>
    <row r="47" ht="15.75" customHeight="1">
      <c r="A47" s="23">
        <v>2.0</v>
      </c>
      <c r="B47" s="80" t="s">
        <v>98</v>
      </c>
      <c r="C47" s="24">
        <v>1200000.0</v>
      </c>
      <c r="D47" s="80" t="s">
        <v>97</v>
      </c>
      <c r="E47" s="101">
        <v>1.0</v>
      </c>
      <c r="F47" s="24">
        <f t="shared" si="3"/>
        <v>1200000</v>
      </c>
      <c r="G47" s="80"/>
      <c r="H47" s="80"/>
      <c r="I47" s="93"/>
      <c r="J47" s="94"/>
      <c r="K47" s="94"/>
      <c r="L47" s="94"/>
      <c r="M47" s="94"/>
      <c r="N47" s="94"/>
      <c r="O47" s="94"/>
      <c r="P47" s="94"/>
      <c r="Q47" s="94"/>
      <c r="R47" s="94"/>
      <c r="S47" s="94"/>
      <c r="T47" s="94"/>
      <c r="U47" s="94"/>
      <c r="V47" s="94"/>
      <c r="W47" s="94"/>
      <c r="X47" s="94"/>
      <c r="Y47" s="94"/>
      <c r="Z47" s="94"/>
      <c r="AA47" s="94"/>
    </row>
    <row r="48" ht="15.75" customHeight="1">
      <c r="A48" s="23">
        <v>3.0</v>
      </c>
      <c r="B48" s="80" t="s">
        <v>99</v>
      </c>
      <c r="C48" s="101" t="s">
        <v>100</v>
      </c>
      <c r="D48" s="80" t="s">
        <v>97</v>
      </c>
      <c r="E48" s="101">
        <v>1.0</v>
      </c>
      <c r="F48" s="101" t="s">
        <v>100</v>
      </c>
      <c r="G48" s="80"/>
      <c r="H48" s="80"/>
      <c r="I48" s="93"/>
      <c r="J48" s="94"/>
      <c r="K48" s="94"/>
      <c r="L48" s="94"/>
      <c r="M48" s="94"/>
      <c r="N48" s="94"/>
      <c r="O48" s="94"/>
      <c r="P48" s="94"/>
      <c r="Q48" s="94"/>
      <c r="R48" s="94"/>
      <c r="S48" s="94"/>
      <c r="T48" s="94"/>
      <c r="U48" s="94"/>
      <c r="V48" s="94"/>
      <c r="W48" s="94"/>
      <c r="X48" s="94"/>
      <c r="Y48" s="94"/>
      <c r="Z48" s="94"/>
      <c r="AA48" s="94"/>
    </row>
    <row r="49" ht="15.75" customHeight="1">
      <c r="A49" s="23">
        <v>4.0</v>
      </c>
      <c r="B49" s="80" t="s">
        <v>101</v>
      </c>
      <c r="C49" s="24">
        <v>750000.0</v>
      </c>
      <c r="D49" s="80" t="s">
        <v>102</v>
      </c>
      <c r="E49" s="101">
        <v>150.0</v>
      </c>
      <c r="F49" s="24">
        <v>750000.0</v>
      </c>
      <c r="G49" s="80"/>
      <c r="H49" s="80"/>
      <c r="I49" s="93"/>
      <c r="J49" s="94"/>
      <c r="K49" s="94"/>
      <c r="L49" s="94"/>
      <c r="M49" s="94"/>
      <c r="N49" s="94"/>
      <c r="O49" s="94"/>
      <c r="P49" s="94"/>
      <c r="Q49" s="94"/>
      <c r="R49" s="94"/>
      <c r="S49" s="94"/>
      <c r="T49" s="94"/>
      <c r="U49" s="94"/>
      <c r="V49" s="94"/>
      <c r="W49" s="94"/>
      <c r="X49" s="94"/>
      <c r="Y49" s="94"/>
      <c r="Z49" s="94"/>
      <c r="AA49" s="94"/>
    </row>
    <row r="50" ht="15.75" customHeight="1">
      <c r="A50" s="23">
        <v>5.0</v>
      </c>
      <c r="B50" s="80" t="s">
        <v>103</v>
      </c>
      <c r="C50" s="24">
        <v>600000.0</v>
      </c>
      <c r="D50" s="80" t="s">
        <v>102</v>
      </c>
      <c r="E50" s="101">
        <v>6.0</v>
      </c>
      <c r="F50" s="24">
        <v>600000.0</v>
      </c>
      <c r="G50" s="80"/>
      <c r="H50" s="80"/>
      <c r="I50" s="93"/>
      <c r="J50" s="94"/>
      <c r="K50" s="94"/>
      <c r="L50" s="94"/>
      <c r="M50" s="94"/>
      <c r="N50" s="94"/>
      <c r="O50" s="94"/>
      <c r="P50" s="94"/>
      <c r="Q50" s="94"/>
      <c r="R50" s="94"/>
      <c r="S50" s="94"/>
      <c r="T50" s="94"/>
      <c r="U50" s="94"/>
      <c r="V50" s="94"/>
      <c r="W50" s="94"/>
      <c r="X50" s="94"/>
      <c r="Y50" s="94"/>
      <c r="Z50" s="94"/>
      <c r="AA50" s="94"/>
    </row>
    <row r="51" ht="15.75" customHeight="1">
      <c r="A51" s="23"/>
      <c r="B51" s="80" t="s">
        <v>104</v>
      </c>
      <c r="C51" s="24">
        <v>100000.0</v>
      </c>
      <c r="D51" s="80" t="s">
        <v>102</v>
      </c>
      <c r="E51" s="101">
        <v>1.0</v>
      </c>
      <c r="F51" s="24">
        <v>100000.0</v>
      </c>
      <c r="G51" s="80"/>
      <c r="H51" s="80"/>
      <c r="I51" s="93"/>
      <c r="J51" s="94"/>
      <c r="K51" s="94"/>
      <c r="L51" s="94"/>
      <c r="M51" s="94"/>
      <c r="N51" s="94"/>
      <c r="O51" s="94"/>
      <c r="P51" s="94"/>
      <c r="Q51" s="94"/>
      <c r="R51" s="94"/>
      <c r="S51" s="94"/>
      <c r="T51" s="94"/>
      <c r="U51" s="94"/>
      <c r="V51" s="94"/>
      <c r="W51" s="94"/>
      <c r="X51" s="94"/>
      <c r="Y51" s="94"/>
      <c r="Z51" s="94"/>
      <c r="AA51" s="94"/>
    </row>
    <row r="52" ht="15.75" customHeight="1">
      <c r="A52" s="23">
        <v>6.0</v>
      </c>
      <c r="B52" s="80" t="s">
        <v>105</v>
      </c>
      <c r="C52" s="24">
        <v>200000.0</v>
      </c>
      <c r="D52" s="80" t="s">
        <v>102</v>
      </c>
      <c r="E52" s="101">
        <v>2.0</v>
      </c>
      <c r="F52" s="24">
        <v>200000.0</v>
      </c>
      <c r="G52" s="80"/>
      <c r="H52" s="80"/>
      <c r="I52" s="93"/>
      <c r="J52" s="94"/>
      <c r="K52" s="94"/>
      <c r="L52" s="94"/>
      <c r="M52" s="94"/>
      <c r="N52" s="94"/>
      <c r="O52" s="94"/>
      <c r="P52" s="94"/>
      <c r="Q52" s="94"/>
      <c r="R52" s="94"/>
      <c r="S52" s="94"/>
      <c r="T52" s="94"/>
      <c r="U52" s="94"/>
      <c r="V52" s="94"/>
      <c r="W52" s="94"/>
      <c r="X52" s="94"/>
      <c r="Y52" s="94"/>
      <c r="Z52" s="94"/>
      <c r="AA52" s="94"/>
    </row>
    <row r="53" ht="15.75" customHeight="1">
      <c r="A53" s="23">
        <v>7.0</v>
      </c>
      <c r="B53" s="80" t="s">
        <v>106</v>
      </c>
      <c r="C53" s="24">
        <v>300000.0</v>
      </c>
      <c r="D53" s="80" t="s">
        <v>102</v>
      </c>
      <c r="E53" s="101">
        <v>3.0</v>
      </c>
      <c r="F53" s="24">
        <v>300000.0</v>
      </c>
      <c r="G53" s="80"/>
      <c r="H53" s="80"/>
      <c r="I53" s="93"/>
      <c r="J53" s="94"/>
      <c r="K53" s="94"/>
      <c r="L53" s="94"/>
      <c r="M53" s="94"/>
      <c r="N53" s="94"/>
      <c r="O53" s="94"/>
      <c r="P53" s="94"/>
      <c r="Q53" s="94"/>
      <c r="R53" s="94"/>
      <c r="S53" s="94"/>
      <c r="T53" s="94"/>
      <c r="U53" s="94"/>
      <c r="V53" s="94"/>
      <c r="W53" s="94"/>
      <c r="X53" s="94"/>
      <c r="Y53" s="94"/>
      <c r="Z53" s="94"/>
      <c r="AA53" s="94"/>
    </row>
    <row r="54" ht="15.75" customHeight="1">
      <c r="A54" s="23">
        <v>8.0</v>
      </c>
      <c r="B54" s="80" t="s">
        <v>107</v>
      </c>
      <c r="C54" s="24">
        <v>300000.0</v>
      </c>
      <c r="D54" s="80" t="s">
        <v>102</v>
      </c>
      <c r="E54" s="101">
        <v>3.0</v>
      </c>
      <c r="F54" s="24">
        <v>300000.0</v>
      </c>
      <c r="G54" s="80"/>
      <c r="H54" s="80"/>
      <c r="I54" s="93"/>
      <c r="J54" s="94"/>
      <c r="K54" s="94"/>
      <c r="L54" s="94"/>
      <c r="M54" s="94"/>
      <c r="N54" s="94"/>
      <c r="O54" s="94"/>
      <c r="P54" s="94"/>
      <c r="Q54" s="94"/>
      <c r="R54" s="94"/>
      <c r="S54" s="94"/>
      <c r="T54" s="94"/>
      <c r="U54" s="94"/>
      <c r="V54" s="94"/>
      <c r="W54" s="94"/>
      <c r="X54" s="94"/>
      <c r="Y54" s="94"/>
      <c r="Z54" s="94"/>
      <c r="AA54" s="94"/>
    </row>
    <row r="55" ht="15.75" customHeight="1">
      <c r="A55" s="23">
        <v>9.0</v>
      </c>
      <c r="B55" s="80" t="s">
        <v>108</v>
      </c>
      <c r="C55" s="24">
        <v>150000.0</v>
      </c>
      <c r="D55" s="80"/>
      <c r="E55" s="101">
        <v>1.0</v>
      </c>
      <c r="F55" s="24">
        <v>150000.0</v>
      </c>
      <c r="G55" s="80"/>
      <c r="H55" s="80"/>
      <c r="I55" s="93"/>
      <c r="J55" s="94"/>
      <c r="K55" s="94"/>
      <c r="L55" s="94"/>
      <c r="M55" s="94"/>
      <c r="N55" s="94"/>
      <c r="O55" s="94"/>
      <c r="P55" s="94"/>
      <c r="Q55" s="94"/>
      <c r="R55" s="94"/>
      <c r="S55" s="94"/>
      <c r="T55" s="94"/>
      <c r="U55" s="94"/>
      <c r="V55" s="94"/>
      <c r="W55" s="94"/>
      <c r="X55" s="94"/>
      <c r="Y55" s="94"/>
      <c r="Z55" s="94"/>
      <c r="AA55" s="94"/>
    </row>
    <row r="56" ht="15.75" customHeight="1">
      <c r="A56" s="23">
        <v>10.0</v>
      </c>
      <c r="B56" s="80" t="s">
        <v>109</v>
      </c>
      <c r="C56" s="24">
        <v>150000.0</v>
      </c>
      <c r="D56" s="80"/>
      <c r="E56" s="101">
        <v>1.0</v>
      </c>
      <c r="F56" s="24">
        <v>150000.0</v>
      </c>
      <c r="G56" s="80"/>
      <c r="H56" s="80"/>
      <c r="I56" s="93"/>
      <c r="J56" s="94"/>
      <c r="K56" s="94"/>
      <c r="L56" s="94"/>
      <c r="M56" s="94"/>
      <c r="N56" s="94"/>
      <c r="O56" s="94"/>
      <c r="P56" s="94"/>
      <c r="Q56" s="94"/>
      <c r="R56" s="94"/>
      <c r="S56" s="94"/>
      <c r="T56" s="94"/>
      <c r="U56" s="94"/>
      <c r="V56" s="94"/>
      <c r="W56" s="94"/>
      <c r="X56" s="94"/>
      <c r="Y56" s="94"/>
      <c r="Z56" s="94"/>
      <c r="AA56" s="94"/>
    </row>
    <row r="57" ht="15.75" customHeight="1">
      <c r="A57" s="23">
        <v>11.0</v>
      </c>
      <c r="B57" s="80" t="s">
        <v>48</v>
      </c>
      <c r="C57" s="24">
        <v>150000.0</v>
      </c>
      <c r="D57" s="80"/>
      <c r="E57" s="101">
        <v>1.0</v>
      </c>
      <c r="F57" s="24">
        <v>150000.0</v>
      </c>
      <c r="G57" s="80"/>
      <c r="H57" s="80"/>
      <c r="I57" s="93"/>
      <c r="J57" s="94"/>
      <c r="K57" s="94"/>
      <c r="L57" s="94"/>
      <c r="M57" s="94"/>
      <c r="N57" s="94"/>
      <c r="O57" s="94"/>
      <c r="P57" s="94"/>
      <c r="Q57" s="94"/>
      <c r="R57" s="94"/>
      <c r="S57" s="94"/>
      <c r="T57" s="94"/>
      <c r="U57" s="94"/>
      <c r="V57" s="94"/>
      <c r="W57" s="94"/>
      <c r="X57" s="94"/>
      <c r="Y57" s="94"/>
      <c r="Z57" s="94"/>
      <c r="AA57" s="94"/>
    </row>
    <row r="58" ht="15.75" customHeight="1">
      <c r="A58" s="23">
        <v>12.0</v>
      </c>
      <c r="B58" s="80" t="s">
        <v>110</v>
      </c>
      <c r="C58" s="24">
        <v>150000.0</v>
      </c>
      <c r="D58" s="80"/>
      <c r="E58" s="101">
        <v>1.0</v>
      </c>
      <c r="F58" s="24">
        <v>150000.0</v>
      </c>
      <c r="G58" s="80"/>
      <c r="H58" s="80"/>
      <c r="I58" s="93"/>
      <c r="J58" s="94"/>
      <c r="K58" s="94"/>
      <c r="L58" s="94"/>
      <c r="M58" s="94"/>
      <c r="N58" s="94"/>
      <c r="O58" s="94"/>
      <c r="P58" s="94"/>
      <c r="Q58" s="94"/>
      <c r="R58" s="94"/>
      <c r="S58" s="94"/>
      <c r="T58" s="94"/>
      <c r="U58" s="94"/>
      <c r="V58" s="94"/>
      <c r="W58" s="94"/>
      <c r="X58" s="94"/>
      <c r="Y58" s="94"/>
      <c r="Z58" s="94"/>
      <c r="AA58" s="94"/>
    </row>
    <row r="59" ht="15.75" customHeight="1">
      <c r="A59" s="23">
        <v>13.0</v>
      </c>
      <c r="B59" s="80" t="s">
        <v>111</v>
      </c>
      <c r="C59" s="24">
        <v>150000.0</v>
      </c>
      <c r="D59" s="80"/>
      <c r="E59" s="101">
        <v>1.0</v>
      </c>
      <c r="F59" s="24">
        <v>150000.0</v>
      </c>
      <c r="G59" s="80"/>
      <c r="H59" s="80"/>
      <c r="I59" s="93"/>
      <c r="J59" s="94"/>
      <c r="K59" s="94"/>
      <c r="L59" s="94"/>
      <c r="M59" s="94"/>
      <c r="N59" s="94"/>
      <c r="O59" s="94"/>
      <c r="P59" s="94"/>
      <c r="Q59" s="94"/>
      <c r="R59" s="94"/>
      <c r="S59" s="94"/>
      <c r="T59" s="94"/>
      <c r="U59" s="94"/>
      <c r="V59" s="94"/>
      <c r="W59" s="94"/>
      <c r="X59" s="94"/>
      <c r="Y59" s="94"/>
      <c r="Z59" s="94"/>
      <c r="AA59" s="94"/>
    </row>
    <row r="60" ht="15.75" customHeight="1">
      <c r="A60" s="23">
        <v>14.0</v>
      </c>
      <c r="B60" s="80" t="s">
        <v>67</v>
      </c>
      <c r="C60" s="24">
        <v>150000.0</v>
      </c>
      <c r="D60" s="80"/>
      <c r="E60" s="101">
        <v>1.0</v>
      </c>
      <c r="F60" s="24">
        <v>150000.0</v>
      </c>
      <c r="G60" s="80"/>
      <c r="H60" s="80"/>
      <c r="I60" s="93"/>
      <c r="J60" s="94"/>
      <c r="K60" s="94"/>
      <c r="L60" s="94"/>
      <c r="M60" s="94"/>
      <c r="N60" s="94"/>
      <c r="O60" s="94"/>
      <c r="P60" s="94"/>
      <c r="Q60" s="94"/>
      <c r="R60" s="94"/>
      <c r="S60" s="94"/>
      <c r="T60" s="94"/>
      <c r="U60" s="94"/>
      <c r="V60" s="94"/>
      <c r="W60" s="94"/>
      <c r="X60" s="94"/>
      <c r="Y60" s="94"/>
      <c r="Z60" s="94"/>
      <c r="AA60" s="94"/>
    </row>
    <row r="61" ht="15.75" customHeight="1">
      <c r="A61" s="23">
        <v>15.0</v>
      </c>
      <c r="B61" s="80" t="s">
        <v>76</v>
      </c>
      <c r="C61" s="24">
        <v>150000.0</v>
      </c>
      <c r="D61" s="80"/>
      <c r="E61" s="101">
        <v>1.0</v>
      </c>
      <c r="F61" s="24">
        <v>150000.0</v>
      </c>
      <c r="G61" s="80"/>
      <c r="H61" s="80"/>
      <c r="I61" s="93"/>
      <c r="J61" s="94"/>
      <c r="K61" s="94"/>
      <c r="L61" s="94"/>
      <c r="M61" s="94"/>
      <c r="N61" s="94"/>
      <c r="O61" s="94"/>
      <c r="P61" s="94"/>
      <c r="Q61" s="94"/>
      <c r="R61" s="94"/>
      <c r="S61" s="94"/>
      <c r="T61" s="94"/>
      <c r="U61" s="94"/>
      <c r="V61" s="94"/>
      <c r="W61" s="94"/>
      <c r="X61" s="94"/>
      <c r="Y61" s="94"/>
      <c r="Z61" s="94"/>
      <c r="AA61" s="94"/>
    </row>
    <row r="62" ht="15.75" customHeight="1">
      <c r="A62" s="23">
        <v>16.0</v>
      </c>
      <c r="B62" s="80" t="s">
        <v>112</v>
      </c>
      <c r="C62" s="24">
        <v>150000.0</v>
      </c>
      <c r="D62" s="80"/>
      <c r="E62" s="101">
        <v>1.0</v>
      </c>
      <c r="F62" s="24">
        <v>150000.0</v>
      </c>
      <c r="G62" s="80"/>
      <c r="H62" s="80"/>
      <c r="I62" s="93"/>
      <c r="J62" s="94"/>
      <c r="K62" s="94"/>
      <c r="L62" s="94"/>
      <c r="M62" s="94"/>
      <c r="N62" s="94"/>
      <c r="O62" s="94"/>
      <c r="P62" s="94"/>
      <c r="Q62" s="94"/>
      <c r="R62" s="94"/>
      <c r="S62" s="94"/>
      <c r="T62" s="94"/>
      <c r="U62" s="94"/>
      <c r="V62" s="94"/>
      <c r="W62" s="94"/>
      <c r="X62" s="94"/>
      <c r="Y62" s="94"/>
      <c r="Z62" s="94"/>
      <c r="AA62" s="94"/>
    </row>
    <row r="63" ht="15.75" customHeight="1">
      <c r="A63" s="23">
        <v>17.0</v>
      </c>
      <c r="B63" s="80" t="s">
        <v>113</v>
      </c>
      <c r="C63" s="24">
        <v>150000.0</v>
      </c>
      <c r="D63" s="80"/>
      <c r="E63" s="101">
        <v>1.0</v>
      </c>
      <c r="F63" s="24">
        <v>150000.0</v>
      </c>
      <c r="G63" s="80"/>
      <c r="H63" s="80"/>
      <c r="I63" s="93"/>
      <c r="J63" s="94"/>
      <c r="K63" s="94"/>
      <c r="L63" s="94"/>
      <c r="M63" s="94"/>
      <c r="N63" s="94"/>
      <c r="O63" s="94"/>
      <c r="P63" s="94"/>
      <c r="Q63" s="94"/>
      <c r="R63" s="94"/>
      <c r="S63" s="94"/>
      <c r="T63" s="94"/>
      <c r="U63" s="94"/>
      <c r="V63" s="94"/>
      <c r="W63" s="94"/>
      <c r="X63" s="94"/>
      <c r="Y63" s="94"/>
      <c r="Z63" s="94"/>
      <c r="AA63" s="94"/>
    </row>
    <row r="64" ht="15.0" customHeight="1">
      <c r="A64" s="102" t="s">
        <v>23</v>
      </c>
      <c r="B64" s="5"/>
      <c r="C64" s="5"/>
      <c r="D64" s="5"/>
      <c r="E64" s="6"/>
      <c r="F64" s="24">
        <f>SUM(F46:F63)</f>
        <v>7300000</v>
      </c>
      <c r="G64" s="80"/>
      <c r="H64" s="80"/>
      <c r="I64" s="93"/>
      <c r="J64" s="94"/>
      <c r="K64" s="94"/>
      <c r="L64" s="94"/>
      <c r="M64" s="94"/>
      <c r="N64" s="94"/>
      <c r="O64" s="94"/>
      <c r="P64" s="94"/>
      <c r="Q64" s="94"/>
      <c r="R64" s="94"/>
      <c r="S64" s="94"/>
      <c r="T64" s="94"/>
      <c r="U64" s="94"/>
      <c r="V64" s="94"/>
      <c r="W64" s="94"/>
      <c r="X64" s="94"/>
      <c r="Y64" s="94"/>
      <c r="Z64" s="94"/>
      <c r="AA64" s="94"/>
    </row>
    <row r="65" ht="15.75" customHeight="1">
      <c r="A65" s="96"/>
      <c r="B65" s="96"/>
      <c r="C65" s="96"/>
      <c r="D65" s="96"/>
      <c r="E65" s="103"/>
      <c r="F65" s="103"/>
      <c r="G65" s="103"/>
      <c r="H65" s="103"/>
      <c r="I65" s="94"/>
      <c r="J65" s="94"/>
      <c r="K65" s="94"/>
      <c r="L65" s="94"/>
      <c r="M65" s="94"/>
      <c r="N65" s="94"/>
      <c r="O65" s="94"/>
      <c r="P65" s="94"/>
      <c r="Q65" s="94"/>
      <c r="R65" s="94"/>
      <c r="S65" s="94"/>
      <c r="T65" s="94"/>
      <c r="U65" s="94"/>
      <c r="V65" s="94"/>
      <c r="W65" s="94"/>
      <c r="X65" s="94"/>
      <c r="Y65" s="94"/>
      <c r="Z65" s="94"/>
      <c r="AA65" s="94"/>
    </row>
    <row r="66" ht="15.75" customHeight="1">
      <c r="A66" s="104" t="s">
        <v>114</v>
      </c>
      <c r="B66" s="5"/>
      <c r="C66" s="5"/>
      <c r="D66" s="6"/>
      <c r="E66" s="93"/>
      <c r="F66" s="94"/>
      <c r="G66" s="94"/>
      <c r="H66" s="94"/>
      <c r="I66" s="94"/>
      <c r="J66" s="94"/>
      <c r="K66" s="94"/>
      <c r="L66" s="94"/>
      <c r="M66" s="94"/>
      <c r="N66" s="94"/>
      <c r="O66" s="94"/>
      <c r="P66" s="94"/>
      <c r="Q66" s="94"/>
      <c r="R66" s="94"/>
      <c r="S66" s="94"/>
      <c r="T66" s="94"/>
      <c r="U66" s="94"/>
      <c r="V66" s="94"/>
      <c r="W66" s="94"/>
      <c r="X66" s="94"/>
      <c r="Y66" s="94"/>
      <c r="Z66" s="94"/>
      <c r="AA66" s="94"/>
    </row>
    <row r="67" ht="15.75" customHeight="1">
      <c r="A67" s="105" t="s">
        <v>1</v>
      </c>
      <c r="B67" s="105" t="s">
        <v>115</v>
      </c>
      <c r="C67" s="105" t="s">
        <v>116</v>
      </c>
      <c r="D67" s="105" t="s">
        <v>117</v>
      </c>
      <c r="E67" s="93"/>
      <c r="F67" s="94"/>
      <c r="G67" s="94"/>
      <c r="H67" s="94"/>
      <c r="I67" s="94"/>
      <c r="J67" s="94"/>
      <c r="K67" s="94"/>
      <c r="L67" s="94"/>
      <c r="M67" s="94"/>
      <c r="N67" s="94"/>
      <c r="O67" s="94"/>
      <c r="P67" s="94"/>
      <c r="Q67" s="94"/>
      <c r="R67" s="94"/>
      <c r="S67" s="94"/>
      <c r="T67" s="94"/>
      <c r="U67" s="94"/>
      <c r="V67" s="94"/>
      <c r="W67" s="94"/>
      <c r="X67" s="94"/>
      <c r="Y67" s="94"/>
      <c r="Z67" s="94"/>
      <c r="AA67" s="94"/>
    </row>
    <row r="68" ht="15.75" customHeight="1">
      <c r="A68" s="106">
        <v>1.0</v>
      </c>
      <c r="B68" s="107" t="s">
        <v>118</v>
      </c>
      <c r="C68" s="108">
        <f>G9</f>
        <v>9746000</v>
      </c>
      <c r="D68" s="107"/>
      <c r="E68" s="93"/>
      <c r="F68" s="94"/>
      <c r="G68" s="94"/>
      <c r="H68" s="94"/>
      <c r="I68" s="94"/>
      <c r="J68" s="94"/>
      <c r="K68" s="94"/>
      <c r="L68" s="94"/>
      <c r="M68" s="94"/>
      <c r="N68" s="94"/>
      <c r="O68" s="94"/>
      <c r="P68" s="94"/>
      <c r="Q68" s="94"/>
      <c r="R68" s="94"/>
      <c r="S68" s="94"/>
      <c r="T68" s="94"/>
      <c r="U68" s="94"/>
      <c r="V68" s="94"/>
      <c r="W68" s="94"/>
      <c r="X68" s="94"/>
      <c r="Y68" s="94"/>
      <c r="Z68" s="94"/>
      <c r="AA68" s="94"/>
    </row>
    <row r="69" ht="15.75" customHeight="1">
      <c r="A69" s="106">
        <v>2.0</v>
      </c>
      <c r="B69" s="107" t="s">
        <v>119</v>
      </c>
      <c r="C69" s="109">
        <f>H40</f>
        <v>5173500</v>
      </c>
      <c r="D69" s="107"/>
      <c r="E69" s="93"/>
      <c r="F69" s="94"/>
      <c r="G69" s="94"/>
      <c r="H69" s="94"/>
      <c r="I69" s="94"/>
      <c r="J69" s="94"/>
      <c r="K69" s="94"/>
      <c r="L69" s="94"/>
      <c r="M69" s="94"/>
      <c r="N69" s="94"/>
      <c r="O69" s="94"/>
      <c r="P69" s="94"/>
      <c r="Q69" s="94"/>
      <c r="R69" s="94"/>
      <c r="S69" s="94"/>
      <c r="T69" s="94"/>
      <c r="U69" s="94"/>
      <c r="V69" s="94"/>
      <c r="W69" s="94"/>
      <c r="X69" s="94"/>
      <c r="Y69" s="94"/>
      <c r="Z69" s="94"/>
      <c r="AA69" s="94"/>
    </row>
    <row r="70" ht="15.75" customHeight="1">
      <c r="A70" s="106">
        <v>3.0</v>
      </c>
      <c r="B70" s="107" t="s">
        <v>120</v>
      </c>
      <c r="C70" s="110">
        <f>H42</f>
        <v>1560000</v>
      </c>
      <c r="D70" s="107"/>
      <c r="E70" s="93"/>
      <c r="F70" s="94"/>
      <c r="G70" s="94"/>
      <c r="H70" s="94"/>
      <c r="I70" s="94"/>
      <c r="J70" s="94"/>
      <c r="K70" s="94"/>
      <c r="L70" s="94"/>
      <c r="M70" s="94"/>
      <c r="N70" s="94"/>
      <c r="O70" s="94"/>
      <c r="P70" s="94"/>
      <c r="Q70" s="94"/>
      <c r="R70" s="94"/>
      <c r="S70" s="94"/>
      <c r="T70" s="94"/>
      <c r="U70" s="94"/>
      <c r="V70" s="94"/>
      <c r="W70" s="94"/>
      <c r="X70" s="94"/>
      <c r="Y70" s="94"/>
      <c r="Z70" s="94"/>
      <c r="AA70" s="94"/>
    </row>
    <row r="71" ht="15.75" customHeight="1">
      <c r="A71" s="106">
        <v>4.0</v>
      </c>
      <c r="B71" s="107" t="s">
        <v>90</v>
      </c>
      <c r="C71" s="111">
        <f>F64</f>
        <v>7300000</v>
      </c>
      <c r="D71" s="107"/>
      <c r="E71" s="93"/>
      <c r="F71" s="94"/>
      <c r="G71" s="94"/>
      <c r="H71" s="94"/>
      <c r="I71" s="94"/>
      <c r="J71" s="94"/>
      <c r="K71" s="94"/>
      <c r="L71" s="94"/>
      <c r="M71" s="94"/>
      <c r="N71" s="94"/>
      <c r="O71" s="94"/>
      <c r="P71" s="94"/>
      <c r="Q71" s="94"/>
      <c r="R71" s="94"/>
      <c r="S71" s="94"/>
      <c r="T71" s="94"/>
      <c r="U71" s="94"/>
      <c r="V71" s="94"/>
      <c r="W71" s="94"/>
      <c r="X71" s="94"/>
      <c r="Y71" s="94"/>
      <c r="Z71" s="94"/>
      <c r="AA71" s="94"/>
    </row>
    <row r="72" ht="15.75" customHeight="1">
      <c r="A72" s="106">
        <v>5.0</v>
      </c>
      <c r="B72" s="112" t="s">
        <v>121</v>
      </c>
      <c r="C72" s="108">
        <f>SUM(C68:C71)</f>
        <v>23779500</v>
      </c>
      <c r="D72" s="107"/>
      <c r="E72" s="93"/>
      <c r="F72" s="94"/>
      <c r="G72" s="94"/>
      <c r="H72" s="94"/>
      <c r="I72" s="94"/>
      <c r="J72" s="94"/>
      <c r="K72" s="94"/>
      <c r="L72" s="94"/>
      <c r="M72" s="94"/>
      <c r="N72" s="94"/>
      <c r="O72" s="94"/>
      <c r="P72" s="94"/>
      <c r="Q72" s="94"/>
      <c r="R72" s="94"/>
      <c r="S72" s="94"/>
      <c r="T72" s="94"/>
      <c r="U72" s="94"/>
      <c r="V72" s="94"/>
      <c r="W72" s="94"/>
      <c r="X72" s="94"/>
      <c r="Y72" s="94"/>
      <c r="Z72" s="94"/>
      <c r="AA72" s="94"/>
    </row>
    <row r="73" ht="15.75" customHeight="1">
      <c r="A73" s="96"/>
      <c r="B73" s="96"/>
      <c r="C73" s="96"/>
      <c r="D73" s="96"/>
      <c r="E73" s="95"/>
      <c r="F73" s="95"/>
      <c r="G73" s="94"/>
      <c r="H73" s="94"/>
      <c r="I73" s="94"/>
      <c r="J73" s="94"/>
      <c r="K73" s="94"/>
      <c r="L73" s="94"/>
      <c r="M73" s="94"/>
      <c r="N73" s="94"/>
      <c r="O73" s="94"/>
      <c r="P73" s="94"/>
      <c r="Q73" s="94"/>
      <c r="R73" s="94"/>
      <c r="S73" s="94"/>
      <c r="T73" s="94"/>
      <c r="U73" s="94"/>
      <c r="V73" s="94"/>
      <c r="W73" s="94"/>
      <c r="X73" s="94"/>
      <c r="Y73" s="94"/>
      <c r="Z73" s="94"/>
      <c r="AA73" s="94"/>
    </row>
    <row r="74" ht="15.75" customHeight="1">
      <c r="A74" s="104" t="s">
        <v>122</v>
      </c>
      <c r="B74" s="5"/>
      <c r="C74" s="5"/>
      <c r="D74" s="5"/>
      <c r="E74" s="5"/>
      <c r="F74" s="6"/>
      <c r="G74" s="93"/>
      <c r="H74" s="94"/>
      <c r="I74" s="94"/>
      <c r="J74" s="94"/>
      <c r="K74" s="94"/>
      <c r="L74" s="94"/>
      <c r="M74" s="94"/>
      <c r="N74" s="94"/>
      <c r="O74" s="94"/>
      <c r="P74" s="94"/>
      <c r="Q74" s="94"/>
      <c r="R74" s="94"/>
      <c r="S74" s="94"/>
      <c r="T74" s="94"/>
      <c r="U74" s="94"/>
      <c r="V74" s="94"/>
      <c r="W74" s="94"/>
      <c r="X74" s="94"/>
      <c r="Y74" s="94"/>
      <c r="Z74" s="94"/>
      <c r="AA74" s="94"/>
    </row>
    <row r="75" ht="15.75" customHeight="1">
      <c r="A75" s="113" t="s">
        <v>1</v>
      </c>
      <c r="B75" s="105" t="s">
        <v>123</v>
      </c>
      <c r="C75" s="105" t="s">
        <v>124</v>
      </c>
      <c r="D75" s="105" t="s">
        <v>116</v>
      </c>
      <c r="E75" s="105" t="s">
        <v>115</v>
      </c>
      <c r="F75" s="105" t="s">
        <v>125</v>
      </c>
      <c r="G75" s="93"/>
      <c r="H75" s="94"/>
      <c r="I75" s="94"/>
      <c r="J75" s="94"/>
      <c r="K75" s="94"/>
      <c r="L75" s="94"/>
      <c r="M75" s="94"/>
      <c r="N75" s="94"/>
      <c r="O75" s="94"/>
      <c r="P75" s="94"/>
      <c r="Q75" s="94"/>
      <c r="R75" s="94"/>
      <c r="S75" s="94"/>
      <c r="T75" s="94"/>
      <c r="U75" s="94"/>
      <c r="V75" s="94"/>
      <c r="W75" s="94"/>
      <c r="X75" s="94"/>
      <c r="Y75" s="94"/>
      <c r="Z75" s="94"/>
      <c r="AA75" s="94"/>
    </row>
    <row r="76" ht="15.75" customHeight="1">
      <c r="A76" s="114">
        <v>1.0</v>
      </c>
      <c r="B76" s="114">
        <v>7.5</v>
      </c>
      <c r="C76" s="114">
        <v>6.5</v>
      </c>
      <c r="D76" s="115">
        <v>4.875E7</v>
      </c>
      <c r="E76" s="116">
        <f>C72</f>
        <v>23779500</v>
      </c>
      <c r="F76" s="117">
        <f>D76-E76</f>
        <v>24970500</v>
      </c>
      <c r="G76" s="93"/>
      <c r="H76" s="94"/>
      <c r="I76" s="94"/>
      <c r="J76" s="94"/>
      <c r="K76" s="94"/>
      <c r="L76" s="94"/>
      <c r="M76" s="94"/>
      <c r="N76" s="94"/>
      <c r="O76" s="94"/>
      <c r="P76" s="94"/>
      <c r="Q76" s="94"/>
      <c r="R76" s="94"/>
      <c r="S76" s="94"/>
      <c r="T76" s="94"/>
      <c r="U76" s="94"/>
      <c r="V76" s="94"/>
      <c r="W76" s="94"/>
      <c r="X76" s="94"/>
      <c r="Y76" s="94"/>
      <c r="Z76" s="94"/>
      <c r="AA76" s="94"/>
    </row>
    <row r="77" ht="15.75" customHeight="1">
      <c r="A77" s="103"/>
      <c r="B77" s="103"/>
      <c r="C77" s="103"/>
      <c r="D77" s="103"/>
      <c r="E77" s="103"/>
      <c r="F77" s="103"/>
      <c r="G77" s="94"/>
      <c r="H77" s="94"/>
      <c r="I77" s="94"/>
      <c r="J77" s="94"/>
      <c r="K77" s="94"/>
      <c r="L77" s="94"/>
      <c r="M77" s="94"/>
      <c r="N77" s="94"/>
      <c r="O77" s="94"/>
      <c r="P77" s="94"/>
      <c r="Q77" s="94"/>
      <c r="R77" s="94"/>
      <c r="S77" s="94"/>
      <c r="T77" s="94"/>
      <c r="U77" s="94"/>
      <c r="V77" s="94"/>
      <c r="W77" s="94"/>
      <c r="X77" s="94"/>
      <c r="Y77" s="94"/>
      <c r="Z77" s="94"/>
      <c r="AA77" s="94"/>
    </row>
    <row r="78"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row>
    <row r="79" ht="15.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row>
    <row r="80" ht="15.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row>
    <row r="81" ht="15.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row>
    <row r="82" ht="15.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row>
    <row r="83" ht="15.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row>
    <row r="84" ht="15.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row>
    <row r="85" ht="15.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row>
    <row r="86" ht="15.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row>
    <row r="87" ht="15.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row>
    <row r="88" ht="15.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row>
    <row r="89" ht="15.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row>
    <row r="90" ht="15.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row>
    <row r="91" ht="15.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row>
    <row r="92" ht="15.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c r="AA92" s="16"/>
    </row>
    <row r="93" ht="15.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c r="AA93" s="16"/>
    </row>
    <row r="94" ht="15.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c r="AA94" s="16"/>
    </row>
    <row r="95" ht="15.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row>
    <row r="96" ht="15.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row>
    <row r="97" ht="15.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row>
    <row r="98" ht="15.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row>
    <row r="99" ht="15.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row>
    <row r="100" ht="15.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row>
    <row r="101" ht="15.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row>
    <row r="102" ht="15.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row>
    <row r="103" ht="15.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row>
    <row r="104" ht="15.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row>
    <row r="105" ht="15.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row>
    <row r="106" ht="15.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row>
    <row r="107" ht="15.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row>
    <row r="108"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row>
    <row r="109"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row>
    <row r="110"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row>
    <row r="111"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row>
    <row r="112"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row>
    <row r="113"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row>
    <row r="11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row>
    <row r="115"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row>
    <row r="116"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row>
    <row r="117"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row>
    <row r="118"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row>
    <row r="119"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row>
    <row r="120"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row>
    <row r="121"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row>
    <row r="122"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row>
    <row r="123"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row>
    <row r="12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row>
    <row r="125"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row>
    <row r="126"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row>
    <row r="127"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row>
    <row r="128"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row>
    <row r="129"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row>
    <row r="130"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row>
    <row r="131"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row>
    <row r="132"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row>
    <row r="133"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row>
    <row r="13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row>
    <row r="135"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row>
    <row r="136"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row>
    <row r="137"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row>
    <row r="138"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row>
    <row r="139"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row>
    <row r="140"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row>
    <row r="141"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row>
    <row r="142"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row>
    <row r="143"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row>
    <row r="14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row>
    <row r="145"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row>
    <row r="146"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row>
    <row r="147"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row>
    <row r="148"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row>
    <row r="149"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row>
    <row r="150"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row>
    <row r="151"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row>
    <row r="152"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row>
    <row r="153"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row>
    <row r="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row>
    <row r="155"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row>
    <row r="156"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row>
    <row r="157"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row>
    <row r="158"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row>
    <row r="159"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row>
    <row r="160"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row>
    <row r="161"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row>
    <row r="162"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row>
    <row r="163"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row>
    <row r="16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row>
    <row r="165"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row>
    <row r="166"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row>
    <row r="167"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row>
    <row r="168"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row>
    <row r="169"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row>
    <row r="170"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row>
    <row r="171"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row>
    <row r="172"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row>
    <row r="173"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row>
    <row r="17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row>
    <row r="175"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row>
    <row r="176"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row>
    <row r="177"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row>
    <row r="178"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row>
    <row r="179"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row>
    <row r="180"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row>
    <row r="181"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row>
    <row r="182"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row>
    <row r="183"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row>
    <row r="18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row>
    <row r="185"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row>
    <row r="186"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row>
    <row r="187"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row>
    <row r="188"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row>
    <row r="189"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row>
    <row r="190"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row>
    <row r="191"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row>
    <row r="192"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row>
    <row r="193"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row>
    <row r="19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row>
    <row r="195"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row>
    <row r="196"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row>
    <row r="197"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row>
    <row r="198"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row>
    <row r="199"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row>
    <row r="200"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row>
    <row r="201"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row>
    <row r="202"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row>
    <row r="203"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row>
    <row r="20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row>
    <row r="205"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row>
    <row r="206"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row>
    <row r="207"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row>
    <row r="208"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row>
    <row r="209"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row>
    <row r="210"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row>
    <row r="211"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row>
    <row r="212"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row>
    <row r="213"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row>
    <row r="21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row>
    <row r="215"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row>
    <row r="216"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row>
    <row r="217"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row>
    <row r="218"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row>
    <row r="219"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row>
    <row r="220"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row>
    <row r="221"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row>
    <row r="222"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row>
    <row r="223"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row>
    <row r="22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row>
    <row r="225"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row>
    <row r="226"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row>
    <row r="227"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row>
    <row r="228"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row>
    <row r="229"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row>
    <row r="230"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row>
    <row r="231"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row>
    <row r="232"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row>
    <row r="233"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row>
    <row r="23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row>
    <row r="235"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row>
    <row r="236"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row>
    <row r="237"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row>
    <row r="238"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row>
    <row r="239"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row>
    <row r="240"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row>
    <row r="241"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row>
    <row r="242"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row>
    <row r="243"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row>
    <row r="24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row>
    <row r="245"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row>
    <row r="246"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row>
    <row r="247"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row>
    <row r="248"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row>
    <row r="249"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row>
    <row r="250"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row>
    <row r="251"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row>
    <row r="252"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row>
    <row r="253"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row>
    <row r="2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row>
    <row r="255"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row>
    <row r="256"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row>
    <row r="257"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row>
    <row r="258"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row>
    <row r="259"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row>
    <row r="260"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row>
    <row r="261"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row>
    <row r="262"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row>
    <row r="263"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row>
    <row r="26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row>
    <row r="265"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row>
    <row r="266"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row>
    <row r="267"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row>
    <row r="268"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row>
    <row r="269"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row>
    <row r="270"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row>
    <row r="271"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row>
    <row r="272"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row>
    <row r="273"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row>
    <row r="27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row>
    <row r="275"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row>
    <row r="276"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mergeCells count="36">
    <mergeCell ref="A1:I1"/>
    <mergeCell ref="A2:A3"/>
    <mergeCell ref="B2:G2"/>
    <mergeCell ref="H2:I9"/>
    <mergeCell ref="J2:Q2"/>
    <mergeCell ref="A4:A5"/>
    <mergeCell ref="A9:D9"/>
    <mergeCell ref="J17:J19"/>
    <mergeCell ref="J20:J23"/>
    <mergeCell ref="J24:J28"/>
    <mergeCell ref="J30:J34"/>
    <mergeCell ref="J36:J40"/>
    <mergeCell ref="A11:A12"/>
    <mergeCell ref="B11:J11"/>
    <mergeCell ref="A13:A14"/>
    <mergeCell ref="B13:B14"/>
    <mergeCell ref="J13:J14"/>
    <mergeCell ref="B15:B16"/>
    <mergeCell ref="J15:J16"/>
    <mergeCell ref="A15:A16"/>
    <mergeCell ref="A17:A19"/>
    <mergeCell ref="B17:B19"/>
    <mergeCell ref="A20:A23"/>
    <mergeCell ref="B20:B23"/>
    <mergeCell ref="A24:A28"/>
    <mergeCell ref="B24:B28"/>
    <mergeCell ref="A64:E64"/>
    <mergeCell ref="A66:D66"/>
    <mergeCell ref="A74:F74"/>
    <mergeCell ref="A29:A34"/>
    <mergeCell ref="B29:B34"/>
    <mergeCell ref="A35:A39"/>
    <mergeCell ref="B35:B39"/>
    <mergeCell ref="A40:E40"/>
    <mergeCell ref="A44:A45"/>
    <mergeCell ref="B44:H44"/>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1"/>
    <col customWidth="1" min="2" max="2" width="43.78"/>
    <col customWidth="1" min="3" max="3" width="18.0"/>
    <col customWidth="1" min="4" max="4" width="28.11"/>
    <col customWidth="1" min="5" max="5" width="26.33"/>
    <col customWidth="1" min="6" max="6" width="42.33"/>
    <col customWidth="1" min="7" max="26" width="10.67"/>
  </cols>
  <sheetData>
    <row r="1" ht="51.75" customHeight="1">
      <c r="A1" s="118" t="s">
        <v>126</v>
      </c>
    </row>
    <row r="2"/>
    <row r="3" ht="48.0" customHeight="1">
      <c r="A3" s="119" t="s">
        <v>1</v>
      </c>
      <c r="B3" s="119" t="s">
        <v>127</v>
      </c>
      <c r="C3" s="119" t="s">
        <v>128</v>
      </c>
      <c r="D3" s="120" t="s">
        <v>129</v>
      </c>
      <c r="E3" s="27" t="s">
        <v>130</v>
      </c>
      <c r="F3" s="121" t="s">
        <v>117</v>
      </c>
      <c r="G3" s="122"/>
      <c r="H3" s="122"/>
      <c r="I3" s="122"/>
      <c r="J3" s="122"/>
      <c r="K3" s="122"/>
      <c r="L3" s="122"/>
      <c r="M3" s="122"/>
      <c r="N3" s="122"/>
      <c r="O3" s="122"/>
      <c r="P3" s="122"/>
      <c r="Q3" s="122"/>
      <c r="R3" s="122"/>
      <c r="S3" s="122"/>
      <c r="T3" s="122"/>
      <c r="U3" s="122"/>
      <c r="V3" s="122"/>
      <c r="W3" s="122"/>
      <c r="X3" s="122"/>
      <c r="Y3" s="122"/>
      <c r="Z3" s="122"/>
    </row>
    <row r="4" ht="72.75" customHeight="1">
      <c r="A4" s="123">
        <v>1.0</v>
      </c>
      <c r="B4" s="124" t="s">
        <v>131</v>
      </c>
      <c r="C4" s="123" t="s">
        <v>132</v>
      </c>
      <c r="D4" s="123">
        <v>1.5</v>
      </c>
      <c r="E4" s="123">
        <v>0.003</v>
      </c>
      <c r="F4" s="125" t="s">
        <v>133</v>
      </c>
    </row>
    <row r="5" ht="24.75" customHeight="1">
      <c r="A5" s="123">
        <v>2.0</v>
      </c>
      <c r="B5" s="124" t="s">
        <v>134</v>
      </c>
      <c r="C5" s="123" t="s">
        <v>132</v>
      </c>
      <c r="D5" s="123">
        <v>0.01</v>
      </c>
      <c r="E5" s="123">
        <v>0.003</v>
      </c>
      <c r="F5" s="126" t="s">
        <v>135</v>
      </c>
    </row>
    <row r="6" ht="24.75" customHeight="1">
      <c r="A6" s="123">
        <v>3.0</v>
      </c>
      <c r="B6" s="124" t="s">
        <v>136</v>
      </c>
      <c r="C6" s="123" t="s">
        <v>132</v>
      </c>
      <c r="D6" s="123">
        <v>1.5</v>
      </c>
      <c r="E6" s="123">
        <v>0.003</v>
      </c>
      <c r="F6" s="126" t="s">
        <v>135</v>
      </c>
    </row>
    <row r="7" ht="24.75" customHeight="1">
      <c r="A7" s="123">
        <v>4.0</v>
      </c>
      <c r="B7" s="124" t="s">
        <v>137</v>
      </c>
      <c r="C7" s="123" t="s">
        <v>132</v>
      </c>
      <c r="D7" s="123">
        <v>0.01</v>
      </c>
      <c r="E7" s="123">
        <v>0.003</v>
      </c>
      <c r="F7" s="126" t="s">
        <v>135</v>
      </c>
    </row>
    <row r="8" ht="24.75" customHeight="1">
      <c r="A8" s="123">
        <v>5.0</v>
      </c>
      <c r="B8" s="124" t="s">
        <v>138</v>
      </c>
      <c r="C8" s="123" t="s">
        <v>132</v>
      </c>
      <c r="D8" s="123">
        <v>5.0</v>
      </c>
      <c r="E8" s="123" t="s">
        <v>139</v>
      </c>
      <c r="F8" s="126" t="s">
        <v>135</v>
      </c>
    </row>
    <row r="9" ht="24.75" customHeight="1">
      <c r="A9" s="123">
        <v>6.0</v>
      </c>
      <c r="B9" s="124" t="s">
        <v>140</v>
      </c>
      <c r="C9" s="123" t="s">
        <v>132</v>
      </c>
      <c r="D9" s="123">
        <v>0.003</v>
      </c>
      <c r="E9" s="123">
        <v>0.003</v>
      </c>
      <c r="F9" s="126" t="s">
        <v>135</v>
      </c>
    </row>
    <row r="10" ht="24.75" customHeight="1">
      <c r="A10" s="123">
        <v>7.0</v>
      </c>
      <c r="B10" s="124" t="s">
        <v>141</v>
      </c>
      <c r="C10" s="123" t="s">
        <v>132</v>
      </c>
      <c r="D10" s="123">
        <v>0.07</v>
      </c>
      <c r="E10" s="123">
        <v>0.003</v>
      </c>
      <c r="F10" s="126" t="s">
        <v>135</v>
      </c>
    </row>
    <row r="11" ht="24.75" customHeight="1">
      <c r="A11" s="123">
        <v>8.0</v>
      </c>
      <c r="B11" s="124" t="s">
        <v>142</v>
      </c>
      <c r="C11" s="123" t="s">
        <v>132</v>
      </c>
      <c r="D11" s="123">
        <v>0.01</v>
      </c>
      <c r="E11" s="123">
        <v>0.003</v>
      </c>
      <c r="F11" s="126" t="s">
        <v>135</v>
      </c>
    </row>
    <row r="12" ht="24.75" customHeight="1">
      <c r="A12" s="123">
        <v>9.0</v>
      </c>
      <c r="B12" s="124" t="s">
        <v>143</v>
      </c>
      <c r="C12" s="123" t="s">
        <v>132</v>
      </c>
      <c r="D12" s="123">
        <v>0.003</v>
      </c>
      <c r="E12" s="123">
        <v>0.003</v>
      </c>
      <c r="F12" s="126" t="s">
        <v>135</v>
      </c>
    </row>
    <row r="13" ht="24.75" customHeight="1">
      <c r="A13" s="123">
        <v>10.0</v>
      </c>
      <c r="B13" s="124" t="s">
        <v>144</v>
      </c>
      <c r="C13" s="123" t="s">
        <v>132</v>
      </c>
      <c r="D13" s="123">
        <v>0.01</v>
      </c>
      <c r="E13" s="123">
        <v>0.003</v>
      </c>
      <c r="F13" s="126" t="s">
        <v>135</v>
      </c>
    </row>
    <row r="14" ht="24.75" customHeight="1">
      <c r="A14" s="123">
        <v>11.0</v>
      </c>
      <c r="B14" s="124" t="s">
        <v>145</v>
      </c>
      <c r="C14" s="123" t="s">
        <v>132</v>
      </c>
      <c r="D14" s="123">
        <v>0.003</v>
      </c>
      <c r="E14" s="123">
        <v>0.003</v>
      </c>
      <c r="F14" s="126" t="s">
        <v>135</v>
      </c>
    </row>
    <row r="15" ht="24.75" customHeight="1">
      <c r="A15" s="123">
        <v>12.0</v>
      </c>
      <c r="B15" s="124" t="s">
        <v>146</v>
      </c>
      <c r="C15" s="123" t="s">
        <v>132</v>
      </c>
      <c r="D15" s="123">
        <v>0.003</v>
      </c>
      <c r="E15" s="123">
        <v>0.003</v>
      </c>
      <c r="F15" s="126" t="s">
        <v>135</v>
      </c>
    </row>
    <row r="16" ht="24.75" customHeight="1">
      <c r="A16" s="123">
        <v>13.0</v>
      </c>
      <c r="B16" s="124" t="s">
        <v>147</v>
      </c>
      <c r="C16" s="123" t="s">
        <v>132</v>
      </c>
      <c r="D16" s="123">
        <v>0.01</v>
      </c>
      <c r="E16" s="127"/>
      <c r="F16" s="127"/>
    </row>
    <row r="17" ht="28.5" customHeight="1">
      <c r="A17" s="123">
        <v>14.0</v>
      </c>
      <c r="B17" s="128" t="s">
        <v>148</v>
      </c>
      <c r="C17" s="123" t="s">
        <v>132</v>
      </c>
      <c r="D17" s="123">
        <v>0.6</v>
      </c>
      <c r="E17" s="127"/>
      <c r="F17" s="127"/>
    </row>
    <row r="18" ht="24.75" customHeight="1">
      <c r="A18" s="123">
        <v>15.0</v>
      </c>
      <c r="B18" s="124" t="s">
        <v>149</v>
      </c>
      <c r="C18" s="123" t="s">
        <v>132</v>
      </c>
      <c r="D18" s="123">
        <v>0.02</v>
      </c>
      <c r="E18" s="127"/>
      <c r="F18" s="127"/>
    </row>
    <row r="19" ht="24.75" customHeight="1">
      <c r="A19" s="123">
        <v>16.0</v>
      </c>
      <c r="B19" s="124" t="s">
        <v>150</v>
      </c>
      <c r="C19" s="123" t="s">
        <v>132</v>
      </c>
      <c r="D19" s="123">
        <v>0.01</v>
      </c>
      <c r="E19" s="127"/>
      <c r="F19" s="127"/>
    </row>
    <row r="20" ht="45.0" customHeight="1">
      <c r="A20" s="123">
        <v>17.0</v>
      </c>
      <c r="B20" s="128" t="s">
        <v>151</v>
      </c>
      <c r="C20" s="123" t="s">
        <v>132</v>
      </c>
      <c r="D20" s="123">
        <v>0.02</v>
      </c>
      <c r="E20" s="127"/>
      <c r="F20" s="127"/>
    </row>
    <row r="21" ht="27.0" customHeight="1">
      <c r="A21" s="123">
        <v>18.0</v>
      </c>
      <c r="B21" s="124" t="s">
        <v>152</v>
      </c>
      <c r="C21" s="123" t="s">
        <v>132</v>
      </c>
      <c r="D21" s="123">
        <v>0.01</v>
      </c>
      <c r="E21" s="127"/>
      <c r="F21" s="127"/>
    </row>
    <row r="22" ht="39.0" customHeight="1">
      <c r="A22" s="123">
        <v>19.0</v>
      </c>
      <c r="B22" s="128" t="s">
        <v>153</v>
      </c>
      <c r="C22" s="123" t="s">
        <v>132</v>
      </c>
      <c r="D22" s="123">
        <v>0.01</v>
      </c>
      <c r="E22" s="127"/>
      <c r="F22" s="127"/>
    </row>
    <row r="23" ht="30.75" customHeight="1">
      <c r="A23" s="123">
        <v>20.0</v>
      </c>
      <c r="B23" s="124" t="s">
        <v>154</v>
      </c>
      <c r="C23" s="123" t="s">
        <v>132</v>
      </c>
      <c r="D23" s="123">
        <v>0.01</v>
      </c>
      <c r="E23" s="127"/>
      <c r="F23" s="127"/>
    </row>
    <row r="24" ht="28.5" customHeight="1">
      <c r="A24" s="123">
        <v>21.0</v>
      </c>
      <c r="B24" s="124" t="s">
        <v>155</v>
      </c>
      <c r="C24" s="123" t="s">
        <v>132</v>
      </c>
      <c r="D24" s="123">
        <v>0.01</v>
      </c>
      <c r="E24" s="127"/>
      <c r="F24" s="127"/>
    </row>
    <row r="25" ht="25.5" customHeight="1">
      <c r="A25" s="123">
        <v>22.0</v>
      </c>
      <c r="B25" s="124" t="s">
        <v>156</v>
      </c>
      <c r="C25" s="123" t="s">
        <v>132</v>
      </c>
      <c r="D25" s="123">
        <v>0.01</v>
      </c>
      <c r="E25" s="127"/>
      <c r="F25" s="127"/>
    </row>
    <row r="26" ht="27.75" customHeight="1">
      <c r="A26" s="123">
        <v>23.0</v>
      </c>
      <c r="B26" s="124" t="s">
        <v>157</v>
      </c>
      <c r="C26" s="123" t="s">
        <v>132</v>
      </c>
      <c r="D26" s="123">
        <v>0.003</v>
      </c>
      <c r="E26" s="127"/>
      <c r="F26" s="127"/>
    </row>
    <row r="27" ht="42.0" customHeight="1">
      <c r="A27" s="123">
        <v>24.0</v>
      </c>
      <c r="B27" s="128" t="s">
        <v>158</v>
      </c>
      <c r="C27" s="123" t="s">
        <v>132</v>
      </c>
      <c r="D27" s="123">
        <v>0.01</v>
      </c>
      <c r="E27" s="127"/>
      <c r="F27" s="127"/>
    </row>
    <row r="28" ht="27.75" customHeight="1">
      <c r="A28" s="123">
        <v>25.0</v>
      </c>
      <c r="B28" s="124" t="s">
        <v>159</v>
      </c>
      <c r="C28" s="123" t="s">
        <v>132</v>
      </c>
      <c r="D28" s="123">
        <v>0.04</v>
      </c>
      <c r="E28" s="127"/>
      <c r="F28" s="127"/>
    </row>
    <row r="29" ht="27.75" customHeight="1">
      <c r="A29" s="123">
        <v>26.0</v>
      </c>
      <c r="B29" s="124" t="s">
        <v>160</v>
      </c>
      <c r="C29" s="123" t="s">
        <v>132</v>
      </c>
      <c r="D29" s="123">
        <v>0.01</v>
      </c>
      <c r="E29" s="127"/>
      <c r="F29" s="127"/>
    </row>
    <row r="30" ht="27.75" customHeight="1">
      <c r="A30" s="123">
        <v>27.0</v>
      </c>
      <c r="B30" s="124" t="s">
        <v>161</v>
      </c>
      <c r="C30" s="123" t="s">
        <v>132</v>
      </c>
      <c r="D30" s="123">
        <v>0.5</v>
      </c>
      <c r="E30" s="127"/>
      <c r="F30" s="127"/>
    </row>
    <row r="31" ht="40.5" customHeight="1">
      <c r="A31" s="123">
        <v>28.0</v>
      </c>
      <c r="B31" s="128" t="s">
        <v>162</v>
      </c>
      <c r="C31" s="123" t="s">
        <v>132</v>
      </c>
      <c r="D31" s="129">
        <v>2.0</v>
      </c>
      <c r="E31" s="127"/>
      <c r="F31" s="127"/>
    </row>
    <row r="32" ht="27.75" customHeight="1">
      <c r="A32" s="123">
        <v>29.0</v>
      </c>
      <c r="B32" s="124" t="s">
        <v>163</v>
      </c>
      <c r="C32" s="123" t="s">
        <v>132</v>
      </c>
      <c r="D32" s="123">
        <v>0.1</v>
      </c>
      <c r="E32" s="127"/>
      <c r="F32" s="127"/>
    </row>
    <row r="33" ht="27.75" customHeight="1">
      <c r="A33" s="123">
        <v>30.0</v>
      </c>
      <c r="B33" s="124" t="s">
        <v>164</v>
      </c>
      <c r="C33" s="123" t="s">
        <v>132</v>
      </c>
      <c r="D33" s="129">
        <v>1.0</v>
      </c>
      <c r="E33" s="127"/>
      <c r="F33" s="127"/>
    </row>
    <row r="34" ht="27.75" customHeight="1">
      <c r="A34" s="123">
        <v>31.0</v>
      </c>
      <c r="B34" s="124" t="s">
        <v>165</v>
      </c>
      <c r="C34" s="123" t="s">
        <v>132</v>
      </c>
      <c r="D34" s="123">
        <v>0.01</v>
      </c>
      <c r="E34" s="127"/>
      <c r="F34" s="127"/>
    </row>
    <row r="35" ht="27.75" customHeight="1">
      <c r="A35" s="123">
        <v>32.0</v>
      </c>
      <c r="B35" s="124" t="s">
        <v>166</v>
      </c>
      <c r="C35" s="123" t="s">
        <v>132</v>
      </c>
      <c r="D35" s="123">
        <v>0.3</v>
      </c>
      <c r="E35" s="127"/>
      <c r="F35" s="127"/>
    </row>
    <row r="36" ht="27.75" customHeight="1">
      <c r="A36" s="123">
        <v>33.0</v>
      </c>
      <c r="B36" s="124" t="s">
        <v>167</v>
      </c>
      <c r="C36" s="123" t="s">
        <v>132</v>
      </c>
      <c r="D36" s="123">
        <v>0.01</v>
      </c>
      <c r="E36" s="127"/>
      <c r="F36" s="127"/>
    </row>
    <row r="37" ht="37.5" customHeight="1">
      <c r="A37" s="123">
        <v>34.0</v>
      </c>
      <c r="B37" s="128" t="s">
        <v>168</v>
      </c>
      <c r="C37" s="123" t="s">
        <v>132</v>
      </c>
      <c r="D37" s="123">
        <v>0.02</v>
      </c>
      <c r="E37" s="127"/>
      <c r="F37" s="127"/>
    </row>
    <row r="38" ht="27.75" customHeight="1">
      <c r="A38" s="123">
        <v>35.0</v>
      </c>
      <c r="B38" s="124" t="s">
        <v>169</v>
      </c>
      <c r="C38" s="123" t="s">
        <v>132</v>
      </c>
      <c r="D38" s="123">
        <v>0.01</v>
      </c>
      <c r="E38" s="127"/>
      <c r="F38" s="127"/>
    </row>
    <row r="39" ht="27.75" customHeight="1">
      <c r="A39" s="123">
        <v>36.0</v>
      </c>
      <c r="B39" s="124" t="s">
        <v>170</v>
      </c>
      <c r="C39" s="123" t="s">
        <v>132</v>
      </c>
      <c r="D39" s="123">
        <v>0.01</v>
      </c>
      <c r="E39" s="127"/>
      <c r="F39" s="127"/>
    </row>
    <row r="40" ht="36.75" customHeight="1">
      <c r="A40" s="123">
        <v>37.0</v>
      </c>
      <c r="B40" s="128" t="s">
        <v>171</v>
      </c>
      <c r="C40" s="123" t="s">
        <v>132</v>
      </c>
      <c r="D40" s="129">
        <v>8.0</v>
      </c>
      <c r="E40" s="127"/>
      <c r="F40" s="127"/>
    </row>
    <row r="41" ht="27.75" customHeight="1">
      <c r="A41" s="123">
        <v>38.0</v>
      </c>
      <c r="B41" s="124" t="s">
        <v>172</v>
      </c>
      <c r="C41" s="123" t="s">
        <v>132</v>
      </c>
      <c r="D41" s="123">
        <v>0.01</v>
      </c>
      <c r="E41" s="127"/>
      <c r="F41" s="127"/>
    </row>
    <row r="42" ht="27.75" customHeight="1">
      <c r="A42" s="123">
        <v>39.0</v>
      </c>
      <c r="B42" s="124" t="s">
        <v>173</v>
      </c>
      <c r="C42" s="123" t="s">
        <v>132</v>
      </c>
      <c r="D42" s="123">
        <v>0.01</v>
      </c>
      <c r="E42" s="127"/>
      <c r="F42" s="127"/>
    </row>
    <row r="43" ht="27.75" customHeight="1">
      <c r="A43" s="123">
        <v>40.0</v>
      </c>
      <c r="B43" s="124" t="s">
        <v>174</v>
      </c>
      <c r="C43" s="123" t="s">
        <v>132</v>
      </c>
      <c r="D43" s="123">
        <v>0.01</v>
      </c>
      <c r="E43" s="127"/>
      <c r="F43" s="127"/>
    </row>
    <row r="44" ht="27.75" customHeight="1">
      <c r="A44" s="123">
        <v>41.0</v>
      </c>
      <c r="B44" s="124" t="s">
        <v>175</v>
      </c>
      <c r="C44" s="123" t="s">
        <v>132</v>
      </c>
      <c r="D44" s="123">
        <v>0.05</v>
      </c>
      <c r="E44" s="127"/>
      <c r="F44" s="127"/>
    </row>
    <row r="45" ht="27.75" customHeight="1">
      <c r="A45" s="123">
        <v>42.0</v>
      </c>
      <c r="B45" s="124" t="s">
        <v>176</v>
      </c>
      <c r="C45" s="123" t="s">
        <v>132</v>
      </c>
      <c r="D45" s="123">
        <v>0.01</v>
      </c>
      <c r="E45" s="127"/>
      <c r="F45" s="127"/>
    </row>
    <row r="46" ht="27.75" customHeight="1">
      <c r="A46" s="123">
        <v>43.0</v>
      </c>
      <c r="B46" s="124" t="s">
        <v>177</v>
      </c>
      <c r="C46" s="123" t="s">
        <v>132</v>
      </c>
      <c r="D46" s="123">
        <v>0.01</v>
      </c>
      <c r="E46" s="127"/>
      <c r="F46" s="127"/>
    </row>
    <row r="47" ht="27.75" customHeight="1">
      <c r="A47" s="123">
        <v>44.0</v>
      </c>
      <c r="B47" s="124" t="s">
        <v>178</v>
      </c>
      <c r="C47" s="123" t="s">
        <v>132</v>
      </c>
      <c r="D47" s="123">
        <v>0.02</v>
      </c>
      <c r="E47" s="127"/>
      <c r="F47" s="127"/>
    </row>
    <row r="48" ht="27.75" customHeight="1">
      <c r="A48" s="123">
        <v>45.0</v>
      </c>
      <c r="B48" s="124" t="s">
        <v>179</v>
      </c>
      <c r="C48" s="123" t="s">
        <v>132</v>
      </c>
      <c r="D48" s="123">
        <v>3.0</v>
      </c>
      <c r="E48" s="127"/>
      <c r="F48" s="127"/>
    </row>
  </sheetData>
  <mergeCells count="1">
    <mergeCell ref="A1:F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2025-07-03T07:13:12Z</dcterms:created>
  <dc:creator>Hoang Thuan</dc:creator>
</cp:coreProperties>
</file>